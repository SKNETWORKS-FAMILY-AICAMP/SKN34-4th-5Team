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능 요구사항 (FR)" sheetId="1" state="visible" r:id="rId3"/>
    <sheet name="비기능 요구사항 (NFR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<sst xmlns="http://schemas.openxmlformats.org/spreadsheetml/2006/main" count="609" uniqueCount="365">
  <si>
    <r>
      <rPr>
        <b val="true"/>
        <sz val="13"/>
        <rFont val="Noto Sans CJK SC"/>
        <family val="2"/>
      </rPr>
      <t xml:space="preserve">기능 요구사항 정의서 — </t>
    </r>
    <r>
      <rPr>
        <b val="true"/>
        <sz val="13"/>
        <rFont val="Arial"/>
        <family val="0"/>
        <charset val="1"/>
      </rPr>
      <t xml:space="preserve">KBO </t>
    </r>
    <r>
      <rPr>
        <b val="true"/>
        <sz val="13"/>
        <rFont val="Noto Sans CJK SC"/>
        <family val="2"/>
      </rPr>
      <t xml:space="preserve">직관 가이드 챗봇 </t>
    </r>
    <r>
      <rPr>
        <b val="true"/>
        <sz val="13"/>
        <rFont val="Arial"/>
        <family val="0"/>
        <charset val="1"/>
      </rPr>
      <t xml:space="preserve">(4</t>
    </r>
    <r>
      <rPr>
        <b val="true"/>
        <sz val="13"/>
        <rFont val="Noto Sans CJK SC"/>
        <family val="2"/>
      </rPr>
      <t xml:space="preserve">차</t>
    </r>
    <r>
      <rPr>
        <b val="true"/>
        <sz val="13"/>
        <rFont val="Arial"/>
        <family val="0"/>
        <charset val="1"/>
      </rPr>
      <t xml:space="preserve">)</t>
    </r>
  </si>
  <si>
    <t xml:space="preserve">분류</t>
  </si>
  <si>
    <t xml:space="preserve">대분류</t>
  </si>
  <si>
    <t xml:space="preserve">중분류</t>
  </si>
  <si>
    <r>
      <rPr>
        <b val="true"/>
        <sz val="10"/>
        <color rgb="FFFFFFFF"/>
        <rFont val="Noto Sans CJK SC"/>
        <family val="2"/>
      </rPr>
      <t xml:space="preserve">요구사항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</si>
  <si>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소분류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기능설명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</si>
  <si>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추가설명</t>
  </si>
  <si>
    <t xml:space="preserve">비고</t>
  </si>
  <si>
    <t xml:space="preserve">상태</t>
  </si>
  <si>
    <t xml:space="preserve">회원</t>
  </si>
  <si>
    <t xml:space="preserve">가입</t>
  </si>
  <si>
    <t xml:space="preserve">회원가입</t>
  </si>
  <si>
    <t xml:space="preserve">AUTH-001</t>
  </si>
  <si>
    <r>
      <rPr>
        <sz val="10"/>
        <rFont val="Noto Sans CJK SC"/>
        <family val="2"/>
      </rPr>
      <t xml:space="preserve">아이디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비밀번호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이메일 입력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필수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약관 동의</t>
    </r>
  </si>
  <si>
    <t xml:space="preserve">/signup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</si>
  <si>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차</t>
    </r>
  </si>
  <si>
    <t xml:space="preserve">✅</t>
  </si>
  <si>
    <t xml:space="preserve">응원팀 선택</t>
  </si>
  <si>
    <t xml:space="preserve">AUTH-002</t>
  </si>
  <si>
    <r>
      <rPr>
        <sz val="10"/>
        <rFont val="Noto Sans CJK SC"/>
        <family val="2"/>
      </rPr>
      <t xml:space="preserve">가입 시 응원 구단 선택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회원 정보에 저장</t>
    </r>
  </si>
  <si>
    <t xml:space="preserve">team_code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</si>
  <si>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차 신규</t>
    </r>
  </si>
  <si>
    <t xml:space="preserve">인증</t>
  </si>
  <si>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로그아웃</t>
    </r>
  </si>
  <si>
    <t xml:space="preserve">AUTH-003</t>
  </si>
  <si>
    <r>
      <rPr>
        <sz val="10"/>
        <rFont val="Arial"/>
        <family val="0"/>
        <charset val="1"/>
      </rPr>
      <t xml:space="preserve">JWT(SimpleJWT) </t>
    </r>
    <r>
      <rPr>
        <sz val="10"/>
        <rFont val="Noto Sans CJK SC"/>
        <family val="2"/>
      </rPr>
      <t xml:space="preserve">발급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갱신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로그아웃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블랙리스트</t>
    </r>
    <r>
      <rPr>
        <sz val="10"/>
        <rFont val="Arial"/>
        <family val="0"/>
        <charset val="1"/>
      </rPr>
      <t xml:space="preserve">)</t>
    </r>
  </si>
  <si>
    <t xml:space="preserve">/login</t>
  </si>
  <si>
    <t xml:space="preserve">소셜 로그인</t>
  </si>
  <si>
    <t xml:space="preserve">AUTH-004</t>
  </si>
  <si>
    <t xml:space="preserve">카카오 로그인</t>
  </si>
  <si>
    <r>
      <rPr>
        <sz val="10"/>
        <rFont val="Noto Sans CJK SC"/>
        <family val="2"/>
      </rPr>
      <t xml:space="preserve">버튼 자리만 있고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준비 중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안내</t>
    </r>
  </si>
  <si>
    <t xml:space="preserve">🟡</t>
  </si>
  <si>
    <t xml:space="preserve">계정 관리</t>
  </si>
  <si>
    <t xml:space="preserve">계정 정보 변경</t>
  </si>
  <si>
    <t xml:space="preserve">AUTH-005</t>
  </si>
  <si>
    <r>
      <rPr>
        <sz val="10"/>
        <rFont val="Noto Sans CJK SC"/>
        <family val="2"/>
      </rPr>
      <t xml:space="preserve">아이디 찾기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비밀번호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이메일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메일 인증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</si>
  <si>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운영은 </t>
    </r>
    <r>
      <rPr>
        <sz val="10"/>
        <rFont val="Arial"/>
        <family val="0"/>
        <charset val="1"/>
      </rPr>
      <t xml:space="preserve">SMTP </t>
    </r>
    <r>
      <rPr>
        <sz val="10"/>
        <rFont val="Noto Sans CJK SC"/>
        <family val="2"/>
      </rPr>
      <t xml:space="preserve">실발송</t>
    </r>
  </si>
  <si>
    <t xml:space="preserve">포인트</t>
  </si>
  <si>
    <t xml:space="preserve">포인트 원장</t>
  </si>
  <si>
    <t xml:space="preserve">AUTH-006</t>
  </si>
  <si>
    <r>
      <rPr>
        <sz val="10"/>
        <rFont val="Noto Sans CJK SC"/>
        <family val="2"/>
      </rPr>
      <t xml:space="preserve">활동별 포인트 지급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회수를 원장에 기록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지급은 한 번만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멱등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</si>
  <si>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가입 보상 </t>
    </r>
    <r>
      <rPr>
        <sz val="10"/>
        <rFont val="Arial"/>
        <family val="0"/>
        <charset val="1"/>
      </rPr>
      <t xml:space="preserve">100P</t>
    </r>
    <r>
      <rPr>
        <sz val="10"/>
        <rFont val="Noto Sans CJK SC"/>
        <family val="2"/>
      </rPr>
      <t xml:space="preserve">는 잔액에만 반영</t>
    </r>
  </si>
  <si>
    <t xml:space="preserve">등급</t>
  </si>
  <si>
    <t xml:space="preserve">회원 등급</t>
  </si>
  <si>
    <t xml:space="preserve">AUTH-007</t>
  </si>
  <si>
    <r>
      <rPr>
        <sz val="10"/>
        <rFont val="Noto Sans CJK SC"/>
        <family val="2"/>
      </rPr>
      <t xml:space="preserve">등급 점수 기준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(1,000 / 2,500 / 5,000 / 7,500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게시판 작성자 옆 등급 표시</t>
    </r>
  </si>
  <si>
    <t xml:space="preserve">가입 보상은 등급 점수에서 제외</t>
  </si>
  <si>
    <t xml:space="preserve">마이페이지</t>
  </si>
  <si>
    <r>
      <rPr>
        <sz val="10"/>
        <rFont val="Noto Sans CJK SC"/>
        <family val="2"/>
      </rPr>
      <t xml:space="preserve">내 정보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활동</t>
    </r>
  </si>
  <si>
    <t xml:space="preserve">AUTH-008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</si>
  <si>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포인트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응원팀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내 코스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찜한 코스 관리</t>
    </r>
  </si>
  <si>
    <t xml:space="preserve">내 게시 검사 상태 화면 연결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</si>
  <si>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차 개선</t>
    </r>
  </si>
  <si>
    <t xml:space="preserve">메인</t>
  </si>
  <si>
    <t xml:space="preserve">메인 화면</t>
  </si>
  <si>
    <t xml:space="preserve">서비스 소개</t>
  </si>
  <si>
    <t xml:space="preserve">MAIN-001</t>
  </si>
  <si>
    <r>
      <rPr>
        <sz val="10"/>
        <rFont val="Noto Sans CJK SC"/>
        <family val="2"/>
      </rPr>
      <t xml:space="preserve">챗봇 질문 입력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당일 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선발 투수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팀 순위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인기 코스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구단 바로가기</t>
    </r>
  </si>
  <si>
    <t xml:space="preserve">/</t>
  </si>
  <si>
    <t xml:space="preserve">광고</t>
  </si>
  <si>
    <t xml:space="preserve">광고 슬롯</t>
  </si>
  <si>
    <t xml:space="preserve">MAIN-002</t>
  </si>
  <si>
    <r>
      <rPr>
        <sz val="10"/>
        <rFont val="Noto Sans CJK SC"/>
        <family val="2"/>
      </rPr>
      <t xml:space="preserve">광고 슬롯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구단 광고 캐러셀 영역</t>
    </r>
  </si>
  <si>
    <t xml:space="preserve">수익화는 활성 사용자 확보 후</t>
  </si>
  <si>
    <t xml:space="preserve">야구 데이터</t>
  </si>
  <si>
    <t xml:space="preserve">경기</t>
  </si>
  <si>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결과</t>
    </r>
  </si>
  <si>
    <t xml:space="preserve">BASE-001</t>
  </si>
  <si>
    <r>
      <rPr>
        <sz val="10"/>
        <rFont val="Noto Sans CJK SC"/>
        <family val="2"/>
      </rPr>
      <t xml:space="preserve">월별 경기 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포스트시즌 단계</t>
    </r>
  </si>
  <si>
    <t xml:space="preserve">/schedule</t>
  </si>
  <si>
    <t xml:space="preserve">순위</t>
  </si>
  <si>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선수 순위</t>
    </r>
  </si>
  <si>
    <t xml:space="preserve">BASE-002</t>
  </si>
  <si>
    <r>
      <rPr>
        <sz val="10"/>
        <rFont val="Noto Sans CJK SC"/>
        <family val="2"/>
      </rPr>
      <t xml:space="preserve">팀 순위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선수 상세 기록</t>
    </r>
  </si>
  <si>
    <r>
      <rPr>
        <sz val="10"/>
        <rFont val="Arial"/>
        <family val="0"/>
        <charset val="1"/>
      </rPr>
      <t xml:space="preserve">/standings, 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선수 상세</t>
    </r>
  </si>
  <si>
    <t xml:space="preserve">구장</t>
  </si>
  <si>
    <t xml:space="preserve">구장 안내</t>
  </si>
  <si>
    <t xml:space="preserve">BASE-003</t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</si>
  <si>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 구장 위치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교통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좌석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먹거리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편의시설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야구 기초 가이드</t>
    </r>
  </si>
  <si>
    <t xml:space="preserve">/stadiums, /guide</t>
  </si>
  <si>
    <t xml:space="preserve">하이라이트</t>
  </si>
  <si>
    <t xml:space="preserve">하이라이트 화면</t>
  </si>
  <si>
    <t xml:space="preserve">BASE-004</t>
  </si>
  <si>
    <r>
      <rPr>
        <sz val="10"/>
        <rFont val="Arial"/>
        <family val="0"/>
        <charset val="1"/>
      </rPr>
      <t xml:space="preserve">KBO </t>
    </r>
    <r>
      <rPr>
        <sz val="10"/>
        <rFont val="Noto Sans CJK SC"/>
        <family val="2"/>
      </rPr>
      <t xml:space="preserve">공식 영상 목록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장면 시각부터 재생</t>
    </r>
  </si>
  <si>
    <r>
      <rPr>
        <sz val="10"/>
        <rFont val="Noto Sans CJK SC"/>
        <family val="2"/>
      </rPr>
      <t xml:space="preserve">공식 임베드만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다운로드 없음</t>
    </r>
  </si>
  <si>
    <t xml:space="preserve">챗봇</t>
  </si>
  <si>
    <t xml:space="preserve">질문 처리</t>
  </si>
  <si>
    <t xml:space="preserve">범위 판단</t>
  </si>
  <si>
    <t xml:space="preserve">CHAT-001</t>
  </si>
  <si>
    <r>
      <rPr>
        <sz val="10"/>
        <rFont val="Noto Sans CJK SC"/>
        <family val="2"/>
      </rPr>
      <t xml:space="preserve">야구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직관과 무관한 질문은 차단하고 고정 안내</t>
    </r>
  </si>
  <si>
    <r>
      <rPr>
        <sz val="10"/>
        <rFont val="Arial"/>
        <family val="0"/>
        <charset val="1"/>
      </rPr>
      <t xml:space="preserve">JEV </t>
    </r>
    <r>
      <rPr>
        <sz val="10"/>
        <rFont val="Noto Sans CJK SC"/>
        <family val="2"/>
      </rPr>
      <t xml:space="preserve">가드</t>
    </r>
    <r>
      <rPr>
        <sz val="10"/>
        <rFont val="Arial"/>
        <family val="0"/>
        <charset val="1"/>
      </rPr>
      <t xml:space="preserve">(LLM </t>
    </r>
    <r>
      <rPr>
        <sz val="10"/>
        <rFont val="Noto Sans CJK SC"/>
        <family val="2"/>
      </rPr>
      <t xml:space="preserve">분류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편의시설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링크 요약은 통과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레시피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코인 등은 차단</t>
    </r>
  </si>
  <si>
    <t xml:space="preserve">질문 유형 분류</t>
  </si>
  <si>
    <t xml:space="preserve">CHAT-002</t>
  </si>
  <si>
    <r>
      <rPr>
        <sz val="10"/>
        <rFont val="Noto Sans CJK SC"/>
        <family val="2"/>
      </rPr>
      <t xml:space="preserve">질문을 </t>
    </r>
    <r>
      <rPr>
        <sz val="10"/>
        <rFont val="Arial"/>
        <family val="0"/>
        <charset val="1"/>
      </rPr>
      <t xml:space="preserve">capability</t>
    </r>
    <r>
      <rPr>
        <sz val="10"/>
        <rFont val="Noto Sans CJK SC"/>
        <family val="2"/>
      </rPr>
      <t xml:space="preserve">로 분류해 필요한 도구만 노출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</si>
  <si>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차 도구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개 일괄 노출 → 동적 할당</t>
    </r>
  </si>
  <si>
    <t xml:space="preserve">하위 에이전트 위임</t>
  </si>
  <si>
    <t xml:space="preserve">CHAT-003</t>
  </si>
  <si>
    <r>
      <rPr>
        <sz val="10"/>
        <rFont val="Noto Sans CJK SC"/>
        <family val="2"/>
      </rPr>
      <t xml:space="preserve">코스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장소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숙소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웹 조사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하이라이트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야구 데이터는 전문 하위 에이전트가 처리</t>
    </r>
  </si>
  <si>
    <t xml:space="preserve">ask_baseball · ask_course · ask_place_data · ask_travel_research · ask_web_research · ask_highlight</t>
  </si>
  <si>
    <t xml:space="preserve">되묻기</t>
  </si>
  <si>
    <t xml:space="preserve">CHAT-004</t>
  </si>
  <si>
    <r>
      <rPr>
        <sz val="10"/>
        <rFont val="Noto Sans CJK SC"/>
        <family val="2"/>
      </rPr>
      <t xml:space="preserve">의도가 모호하면 도구 호출 없이 되묻기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직관 계획은 구조화 질문 </t>
    </r>
    <r>
      <rPr>
        <sz val="10"/>
        <rFont val="Arial"/>
        <family val="0"/>
        <charset val="1"/>
      </rPr>
      <t xml:space="preserve">UI</t>
    </r>
  </si>
  <si>
    <t xml:space="preserve">present_planning_questions</t>
  </si>
  <si>
    <t xml:space="preserve">야구 정보</t>
  </si>
  <si>
    <t xml:space="preserve">경기 데이터 조회</t>
  </si>
  <si>
    <t xml:space="preserve">CHAT-005</t>
  </si>
  <si>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티켓 가격을 읽기 전용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도구로 답변</t>
    </r>
  </si>
  <si>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순위는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만 정본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벡터 사본 제거</t>
    </r>
    <r>
      <rPr>
        <sz val="10"/>
        <rFont val="Arial"/>
        <family val="0"/>
        <charset val="1"/>
      </rPr>
      <t xml:space="preserve">)</t>
    </r>
  </si>
  <si>
    <t xml:space="preserve">규정 질의</t>
  </si>
  <si>
    <t xml:space="preserve">CHAT-006</t>
  </si>
  <si>
    <r>
      <rPr>
        <sz val="10"/>
        <rFont val="Noto Sans CJK SC"/>
        <family val="2"/>
      </rPr>
      <t xml:space="preserve">공식야구규칙 </t>
    </r>
    <r>
      <rPr>
        <sz val="10"/>
        <rFont val="Arial"/>
        <family val="0"/>
        <charset val="1"/>
      </rPr>
      <t xml:space="preserve">· KBO </t>
    </r>
    <r>
      <rPr>
        <sz val="10"/>
        <rFont val="Noto Sans CJK SC"/>
        <family val="2"/>
      </rPr>
      <t xml:space="preserve">리그 규정 질문에 조항 근거로 답변</t>
    </r>
  </si>
  <si>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항 단위 </t>
    </r>
    <r>
      <rPr>
        <sz val="10"/>
        <rFont val="Arial"/>
        <family val="0"/>
        <charset val="1"/>
      </rPr>
      <t xml:space="preserve">398</t>
    </r>
    <r>
      <rPr>
        <sz val="10"/>
        <rFont val="Noto Sans CJK SC"/>
        <family val="2"/>
      </rPr>
      <t xml:space="preserve">청크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하이브리드 검색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리랭크</t>
    </r>
  </si>
  <si>
    <t xml:space="preserve">구장 정보</t>
  </si>
  <si>
    <r>
      <rPr>
        <sz val="10"/>
        <rFont val="Noto Sans CJK SC"/>
        <family val="2"/>
      </rPr>
      <t xml:space="preserve">구장 안내 </t>
    </r>
    <r>
      <rPr>
        <sz val="10"/>
        <rFont val="Arial"/>
        <family val="0"/>
        <charset val="1"/>
      </rPr>
      <t xml:space="preserve">Q&amp;A</t>
    </r>
  </si>
  <si>
    <t xml:space="preserve">CHAT-007</t>
  </si>
  <si>
    <r>
      <rPr>
        <sz val="10"/>
        <rFont val="Noto Sans CJK SC"/>
        <family val="2"/>
      </rPr>
      <t xml:space="preserve">교통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주차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좌석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반입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재입장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편의시설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구장 먹거리</t>
    </r>
  </si>
  <si>
    <r>
      <rPr>
        <sz val="10"/>
        <rFont val="Noto Sans CJK SC"/>
        <family val="2"/>
      </rPr>
      <t xml:space="preserve">문서 검색</t>
    </r>
    <r>
      <rPr>
        <sz val="10"/>
        <rFont val="Arial"/>
        <family val="0"/>
        <charset val="1"/>
      </rPr>
      <t xml:space="preserve">(RAG)</t>
    </r>
  </si>
  <si>
    <r>
      <rPr>
        <sz val="10"/>
        <rFont val="Noto Sans CJK SC"/>
        <family val="2"/>
      </rPr>
      <t xml:space="preserve">날씨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길찾기</t>
    </r>
  </si>
  <si>
    <t xml:space="preserve">CHAT-008</t>
  </si>
  <si>
    <r>
      <rPr>
        <sz val="10"/>
        <rFont val="Noto Sans CJK SC"/>
        <family val="2"/>
      </rPr>
      <t xml:space="preserve">경기 시각 기준 날씨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경기 없는 날 포함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출발지 → 구장 길찾기를 분 </t>
    </r>
    <r>
      <rPr>
        <sz val="10"/>
        <rFont val="Arial"/>
        <family val="0"/>
        <charset val="1"/>
      </rPr>
      <t xml:space="preserve">· km</t>
    </r>
    <r>
      <rPr>
        <sz val="10"/>
        <rFont val="Noto Sans CJK SC"/>
        <family val="2"/>
      </rPr>
      <t xml:space="preserve">로 안내</t>
    </r>
  </si>
  <si>
    <r>
      <rPr>
        <sz val="10"/>
        <rFont val="Noto Sans CJK SC"/>
        <family val="2"/>
      </rPr>
      <t xml:space="preserve">기상청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카카오</t>
    </r>
  </si>
  <si>
    <r>
      <rPr>
        <sz val="10"/>
        <rFont val="Noto Sans CJK SC"/>
        <family val="2"/>
      </rPr>
      <t xml:space="preserve">숙소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웹 조사</t>
    </r>
  </si>
  <si>
    <t xml:space="preserve">CHAT-009</t>
  </si>
  <si>
    <r>
      <rPr>
        <sz val="10"/>
        <rFont val="Noto Sans CJK SC"/>
        <family val="2"/>
      </rPr>
      <t xml:space="preserve">구장 주변 숙소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내부 데이터에 없는 최신 정보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링크 요약</t>
    </r>
  </si>
  <si>
    <r>
      <rPr>
        <sz val="10"/>
        <rFont val="Arial"/>
        <family val="0"/>
        <charset val="1"/>
      </rPr>
      <t xml:space="preserve">JEV </t>
    </r>
    <r>
      <rPr>
        <sz val="10"/>
        <rFont val="Noto Sans CJK SC"/>
        <family val="2"/>
      </rPr>
      <t xml:space="preserve">브라우저</t>
    </r>
    <r>
      <rPr>
        <sz val="10"/>
        <rFont val="Arial"/>
        <family val="0"/>
        <charset val="1"/>
      </rPr>
      <t xml:space="preserve">(MCP), </t>
    </r>
    <r>
      <rPr>
        <sz val="10"/>
        <rFont val="Noto Sans CJK SC"/>
        <family val="2"/>
      </rPr>
      <t xml:space="preserve">웹 검증 기본 </t>
    </r>
    <r>
      <rPr>
        <sz val="10"/>
        <rFont val="Arial"/>
        <family val="0"/>
        <charset val="1"/>
      </rPr>
      <t xml:space="preserve">off</t>
    </r>
  </si>
  <si>
    <r>
      <rPr>
        <sz val="10"/>
        <rFont val="Noto Sans CJK SC"/>
        <family val="2"/>
      </rPr>
      <t xml:space="preserve">장면 검색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재생</t>
    </r>
  </si>
  <si>
    <t xml:space="preserve">CHAT-010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</si>
  <si>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김도영 홈런 영상</t>
    </r>
    <r>
      <rPr>
        <sz val="10"/>
        <rFont val="Arial"/>
        <family val="0"/>
        <charset val="1"/>
      </rPr>
      <t xml:space="preserve">" → </t>
    </r>
    <r>
      <rPr>
        <sz val="10"/>
        <rFont val="Noto Sans CJK SC"/>
        <family val="2"/>
      </rPr>
      <t xml:space="preserve">영상 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 장면부터 재생</t>
    </r>
  </si>
  <si>
    <r>
      <rPr>
        <sz val="10"/>
        <rFont val="Noto Sans CJK SC"/>
        <family val="2"/>
      </rPr>
      <t xml:space="preserve">장면표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타자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검색</t>
    </r>
  </si>
  <si>
    <r>
      <rPr>
        <sz val="10"/>
        <rFont val="Noto Sans CJK SC"/>
        <family val="2"/>
      </rPr>
      <t xml:space="preserve">이미지 질문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영상 검증</t>
    </r>
  </si>
  <si>
    <t xml:space="preserve">CHAT-011</t>
  </si>
  <si>
    <r>
      <rPr>
        <sz val="10"/>
        <rFont val="Noto Sans CJK SC"/>
        <family val="2"/>
      </rPr>
      <t xml:space="preserve">이미지 첨부 질문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후보 영상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개를 </t>
    </r>
    <r>
      <rPr>
        <sz val="10"/>
        <rFont val="Arial"/>
        <family val="0"/>
        <charset val="1"/>
      </rPr>
      <t xml:space="preserve">Gemini</t>
    </r>
    <r>
      <rPr>
        <sz val="10"/>
        <rFont val="Noto Sans CJK SC"/>
        <family val="2"/>
      </rPr>
      <t xml:space="preserve">가 실제 영상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음성으로 검증 후 카드 생성</t>
    </r>
  </si>
  <si>
    <t xml:space="preserve">gemini-3.8-flash, gemini-embedding-2</t>
  </si>
  <si>
    <t xml:space="preserve">응답</t>
  </si>
  <si>
    <r>
      <rPr>
        <sz val="10"/>
        <rFont val="Noto Sans CJK SC"/>
        <family val="2"/>
      </rPr>
      <t xml:space="preserve">실시간 응답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진행 표시</t>
    </r>
  </si>
  <si>
    <t xml:space="preserve">CHAT-012</t>
  </si>
  <si>
    <r>
      <rPr>
        <sz val="10"/>
        <rFont val="Arial"/>
        <family val="0"/>
        <charset val="1"/>
      </rPr>
      <t xml:space="preserve">SSE </t>
    </r>
    <r>
      <rPr>
        <sz val="10"/>
        <rFont val="Noto Sans CJK SC"/>
        <family val="2"/>
      </rPr>
      <t xml:space="preserve">토큰 스트리밍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하위 에이전트 진행 상태 표시</t>
    </r>
  </si>
  <si>
    <r>
      <rPr>
        <sz val="10"/>
        <rFont val="Noto Sans CJK SC"/>
        <family val="2"/>
      </rPr>
      <t xml:space="preserve">상태는 </t>
    </r>
    <r>
      <rPr>
        <sz val="10"/>
        <rFont val="Arial"/>
        <family val="0"/>
        <charset val="1"/>
      </rPr>
      <t xml:space="preserve">Postgres </t>
    </r>
    <r>
      <rPr>
        <sz val="10"/>
        <rFont val="Noto Sans CJK SC"/>
        <family val="2"/>
      </rPr>
      <t xml:space="preserve">체크포인트</t>
    </r>
  </si>
  <si>
    <t xml:space="preserve">근거 등급 표시</t>
  </si>
  <si>
    <t xml:space="preserve">CHAT-013</t>
  </si>
  <si>
    <r>
      <rPr>
        <sz val="10"/>
        <rFont val="Noto Sans CJK SC"/>
        <family val="2"/>
      </rPr>
      <t xml:space="preserve">공식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공식 확인 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비공식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외부 서비스 정보에 따라 끝 문구 구분</t>
    </r>
  </si>
  <si>
    <r>
      <rPr>
        <sz val="10"/>
        <rFont val="Noto Sans CJK SC"/>
        <family val="2"/>
      </rPr>
      <t xml:space="preserve">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주차 결과에도 등급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출처 링크</t>
    </r>
  </si>
  <si>
    <t xml:space="preserve">조회 실패 대응</t>
  </si>
  <si>
    <t xml:space="preserve">CHAT-014</t>
  </si>
  <si>
    <r>
      <rPr>
        <sz val="10"/>
        <rFont val="Noto Sans CJK SC"/>
        <family val="2"/>
      </rPr>
      <t xml:space="preserve">조회 실패 시 단정하지 않고 실패 사실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확인처 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일부 실패는 성공분만 답변</t>
    </r>
  </si>
  <si>
    <t xml:space="preserve">답변 규칙</t>
  </si>
  <si>
    <t xml:space="preserve">이용</t>
  </si>
  <si>
    <t xml:space="preserve">대화 기록</t>
  </si>
  <si>
    <t xml:space="preserve">CHAT-015</t>
  </si>
  <si>
    <r>
      <rPr>
        <sz val="10"/>
        <rFont val="Noto Sans CJK SC"/>
        <family val="2"/>
      </rPr>
      <t xml:space="preserve">대화 저장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이어 받기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목록에서 삭제</t>
    </r>
  </si>
  <si>
    <r>
      <rPr>
        <sz val="10"/>
        <rFont val="Noto Sans CJK SC"/>
        <family val="2"/>
      </rPr>
      <t xml:space="preserve">비회원 체험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사용량</t>
    </r>
  </si>
  <si>
    <t xml:space="preserve">CHAT-016</t>
  </si>
  <si>
    <r>
      <rPr>
        <sz val="10"/>
        <rFont val="Noto Sans CJK SC"/>
        <family val="2"/>
      </rPr>
      <t xml:space="preserve">비회원도 일정 토큰까지 질문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회원 월 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실사용 후불 정산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사용자 동시 요청 차단</t>
    </r>
  </si>
  <si>
    <r>
      <rPr>
        <sz val="10"/>
        <rFont val="Noto Sans CJK SC"/>
        <family val="2"/>
      </rPr>
      <t xml:space="preserve">비회원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만 토큰</t>
    </r>
  </si>
  <si>
    <t xml:space="preserve">답변 피드백</t>
  </si>
  <si>
    <t xml:space="preserve">CHAT-017</t>
  </si>
  <si>
    <r>
      <rPr>
        <sz val="10"/>
        <rFont val="Noto Sans CJK SC"/>
        <family val="2"/>
      </rPr>
      <t xml:space="preserve">좋아요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아쉬워요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사유 수집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관리자 피드백 화면</t>
    </r>
  </si>
  <si>
    <t xml:space="preserve">마지막 갱신 시각</t>
  </si>
  <si>
    <t xml:space="preserve">CHAT-018</t>
  </si>
  <si>
    <r>
      <rPr>
        <sz val="10"/>
        <rFont val="Noto Sans CJK SC"/>
        <family val="2"/>
      </rPr>
      <t xml:space="preserve">답변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화면에 데이터 기준 시각 표시</t>
    </r>
  </si>
  <si>
    <t xml:space="preserve">선도기업 피드백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</si>
  <si>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차</t>
    </r>
  </si>
  <si>
    <t xml:space="preserve">⏳</t>
  </si>
  <si>
    <t xml:space="preserve">코스</t>
  </si>
  <si>
    <t xml:space="preserve">코스 작성</t>
  </si>
  <si>
    <t xml:space="preserve">지도 코스 만들기</t>
  </si>
  <si>
    <t xml:space="preserve">COURSE-001</t>
  </si>
  <si>
    <r>
      <rPr>
        <sz val="10"/>
        <rFont val="Noto Sans CJK SC"/>
        <family val="2"/>
      </rPr>
      <t xml:space="preserve">카카오맵에서 구장 주변 장소 탐색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방문 순서 지정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경로 좌표 저장</t>
    </r>
  </si>
  <si>
    <t xml:space="preserve">/routes/new</t>
  </si>
  <si>
    <t xml:space="preserve">본문 작성</t>
  </si>
  <si>
    <t xml:space="preserve">COURSE-002</t>
  </si>
  <si>
    <r>
      <rPr>
        <sz val="10"/>
        <rFont val="Arial"/>
        <family val="0"/>
        <charset val="1"/>
      </rPr>
      <t xml:space="preserve">CKEditor 5</t>
    </r>
    <r>
      <rPr>
        <sz val="10"/>
        <rFont val="Noto Sans CJK SC"/>
        <family val="2"/>
      </rPr>
      <t xml:space="preserve">로 코스 소개 작성</t>
    </r>
  </si>
  <si>
    <t xml:space="preserve">첫 사용자 가이드</t>
  </si>
  <si>
    <t xml:space="preserve">COURSE-003</t>
  </si>
  <si>
    <r>
      <rPr>
        <sz val="10"/>
        <rFont val="Noto Sans CJK SC"/>
        <family val="2"/>
      </rPr>
      <t xml:space="preserve">스포트라이트 가이드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샘플 화면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이전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다음 버튼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단계 배너</t>
    </r>
  </si>
  <si>
    <r>
      <rPr>
        <sz val="10"/>
        <rFont val="Noto Sans CJK SC"/>
        <family val="2"/>
      </rPr>
      <t xml:space="preserve">실제 저장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요청 없음</t>
    </r>
  </si>
  <si>
    <t xml:space="preserve">챗봇 코스</t>
  </si>
  <si>
    <t xml:space="preserve">경기 기준 코스 추천</t>
  </si>
  <si>
    <t xml:space="preserve">COURSE-004</t>
  </si>
  <si>
    <r>
      <rPr>
        <sz val="10"/>
        <rFont val="Noto Sans CJK SC"/>
        <family val="2"/>
      </rPr>
      <t xml:space="preserve">경기 시각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동행 조건 기준 경기 전 → 구장 → 경기 후 코스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지도에 자동 표시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저장</t>
    </r>
  </si>
  <si>
    <r>
      <rPr>
        <sz val="10"/>
        <rFont val="Arial"/>
        <family val="0"/>
        <charset val="1"/>
      </rPr>
      <t xml:space="preserve">LLM</t>
    </r>
    <r>
      <rPr>
        <sz val="10"/>
        <rFont val="Noto Sans CJK SC"/>
        <family val="2"/>
      </rPr>
      <t xml:space="preserve">은 장소 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이유만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좌표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거리는 </t>
    </r>
    <r>
      <rPr>
        <sz val="10"/>
        <rFont val="Arial"/>
        <family val="0"/>
        <charset val="1"/>
      </rPr>
      <t xml:space="preserve">DB · </t>
    </r>
    <r>
      <rPr>
        <sz val="10"/>
        <rFont val="Noto Sans CJK SC"/>
        <family val="2"/>
      </rPr>
      <t xml:space="preserve">코드 값</t>
    </r>
  </si>
  <si>
    <r>
      <rPr>
        <sz val="10"/>
        <rFont val="Noto Sans CJK SC"/>
        <family val="2"/>
      </rPr>
      <t xml:space="preserve">구장 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밖 구분</t>
    </r>
  </si>
  <si>
    <t xml:space="preserve">COURSE-005</t>
  </si>
  <si>
    <r>
      <rPr>
        <sz val="10"/>
        <rFont val="Noto Sans CJK SC"/>
        <family val="2"/>
      </rPr>
      <t xml:space="preserve">구장 안 매장은 입장 직전에 배치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출발지 거리 안내는 첫 외부 방문지 기준</t>
    </r>
  </si>
  <si>
    <t xml:space="preserve">나갔다 오는 요청은 순서 유지</t>
  </si>
  <si>
    <r>
      <rPr>
        <sz val="10"/>
        <rFont val="Noto Sans CJK SC"/>
        <family val="2"/>
      </rPr>
      <t xml:space="preserve">메뉴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후기 근거</t>
    </r>
  </si>
  <si>
    <t xml:space="preserve">COURSE-006</t>
  </si>
  <si>
    <r>
      <rPr>
        <sz val="10"/>
        <rFont val="Noto Sans CJK SC"/>
        <family val="2"/>
      </rPr>
      <t xml:space="preserve">메뉴 동의어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돈카츠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돈가스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공개 페이지 메뉴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후기 인용 대조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외부 술집 평점 게이트</t>
    </r>
  </si>
  <si>
    <t xml:space="preserve">코스 공유</t>
  </si>
  <si>
    <r>
      <rPr>
        <sz val="10"/>
        <rFont val="Noto Sans CJK SC"/>
        <family val="2"/>
      </rPr>
      <t xml:space="preserve">목록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상세</t>
    </r>
  </si>
  <si>
    <t xml:space="preserve">COURSE-007</t>
  </si>
  <si>
    <r>
      <rPr>
        <sz val="10"/>
        <rFont val="Noto Sans CJK SC"/>
        <family val="2"/>
      </rPr>
      <t xml:space="preserve">코스 목록 정렬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페이징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방문 순서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좋아요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공유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작성자만 수정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삭제</t>
    </r>
  </si>
  <si>
    <t xml:space="preserve">/routes, /routes/[id]</t>
  </si>
  <si>
    <t xml:space="preserve">커뮤니티</t>
  </si>
  <si>
    <t xml:space="preserve">게시판</t>
  </si>
  <si>
    <r>
      <rPr>
        <sz val="10"/>
        <rFont val="Noto Sans CJK SC"/>
        <family val="2"/>
      </rPr>
      <t xml:space="preserve">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댓글</t>
    </r>
  </si>
  <si>
    <t xml:space="preserve">COMM-001</t>
  </si>
  <si>
    <r>
      <rPr>
        <sz val="10"/>
        <rFont val="Noto Sans CJK SC"/>
        <family val="2"/>
      </rPr>
      <t xml:space="preserve">자유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구단별 게시판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댓글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작성 후 글 상세로 이동</t>
    </r>
  </si>
  <si>
    <t xml:space="preserve">회원당 시간당 작성 제한</t>
  </si>
  <si>
    <t xml:space="preserve">승부 예측</t>
  </si>
  <si>
    <t xml:space="preserve">COMM-002</t>
  </si>
  <si>
    <r>
      <rPr>
        <sz val="10"/>
        <rFont val="Noto Sans CJK SC"/>
        <family val="2"/>
      </rPr>
      <t xml:space="preserve">경기별 승부 예측 투표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집계</t>
    </r>
  </si>
  <si>
    <t xml:space="preserve">게시 검사</t>
  </si>
  <si>
    <r>
      <rPr>
        <sz val="10"/>
        <rFont val="Noto Sans CJK SC"/>
        <family val="2"/>
      </rPr>
      <t xml:space="preserve">선공개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사후 검사</t>
    </r>
  </si>
  <si>
    <t xml:space="preserve">COMM-003</t>
  </si>
  <si>
    <r>
      <rPr>
        <sz val="10"/>
        <rFont val="Noto Sans CJK SC"/>
        <family val="2"/>
      </rPr>
      <t xml:space="preserve">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댓글은 작성 즉시 공개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워커가 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로 사후 검사해 유해 판정이면 비공개</t>
    </r>
  </si>
  <si>
    <r>
      <rPr>
        <sz val="10"/>
        <rFont val="Noto Sans CJK SC"/>
        <family val="2"/>
      </rPr>
      <t xml:space="preserve">이미지 글은 항상 운영진 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삭제 없이 공개 여부만 변경</t>
    </r>
  </si>
  <si>
    <t xml:space="preserve">신고 재검사</t>
  </si>
  <si>
    <t xml:space="preserve">COMM-004</t>
  </si>
  <si>
    <r>
      <rPr>
        <sz val="10"/>
        <rFont val="Noto Sans CJK SC"/>
        <family val="2"/>
      </rPr>
      <t xml:space="preserve">신고 접수 시 즉시 재검사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 신고는 재검사 생략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검토 사유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이력 보존</t>
    </r>
  </si>
  <si>
    <t xml:space="preserve">내 검사 상태</t>
  </si>
  <si>
    <t xml:space="preserve">COMM-005</t>
  </si>
  <si>
    <t xml:space="preserve">회원이 내 글의 검사 상태 확인</t>
  </si>
  <si>
    <t xml:space="preserve">/community/submissions</t>
  </si>
  <si>
    <t xml:space="preserve">환상게임</t>
  </si>
  <si>
    <t xml:space="preserve">선수 선택</t>
  </si>
  <si>
    <t xml:space="preserve">주간 라인업</t>
  </si>
  <si>
    <t xml:space="preserve">FAN-001</t>
  </si>
  <si>
    <r>
      <rPr>
        <sz val="10"/>
        <rFont val="Noto Sans CJK SC"/>
        <family val="2"/>
      </rPr>
      <t xml:space="preserve">이번 주에 다음 주 타자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투수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유형 다시 고르면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경기 없는 주 선택 불가</t>
    </r>
  </si>
  <si>
    <t xml:space="preserve">/fantasy</t>
  </si>
  <si>
    <t xml:space="preserve">점수</t>
  </si>
  <si>
    <r>
      <rPr>
        <sz val="10"/>
        <rFont val="Noto Sans CJK SC"/>
        <family val="2"/>
      </rPr>
      <t xml:space="preserve">배율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점수 계산</t>
    </r>
  </si>
  <si>
    <t xml:space="preserve">FAN-002</t>
  </si>
  <si>
    <r>
      <rPr>
        <sz val="10"/>
        <rFont val="Noto Sans CJK SC"/>
        <family val="2"/>
      </rPr>
      <t xml:space="preserve">월요일 기록별 배율</t>
    </r>
    <r>
      <rPr>
        <sz val="10"/>
        <rFont val="Arial"/>
        <family val="0"/>
        <charset val="1"/>
      </rPr>
      <t xml:space="preserve">(1 ~ 9) 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주간 기록 합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기본 점수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배율 </t>
    </r>
    <r>
      <rPr>
        <sz val="10"/>
        <rFont val="Arial"/>
        <family val="0"/>
        <charset val="1"/>
      </rPr>
      <t xml:space="preserve">÷ 5</t>
    </r>
  </si>
  <si>
    <r>
      <rPr>
        <sz val="10"/>
        <rFont val="Noto Sans CJK SC"/>
        <family val="2"/>
      </rPr>
      <t xml:space="preserve">취소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연기 경기 제외</t>
    </r>
  </si>
  <si>
    <t xml:space="preserve">정산</t>
  </si>
  <si>
    <t xml:space="preserve">포인트 정산</t>
  </si>
  <si>
    <t xml:space="preserve">FAN-003</t>
  </si>
  <si>
    <r>
      <rPr>
        <sz val="10"/>
        <rFont val="Noto Sans CJK SC"/>
        <family val="2"/>
      </rPr>
      <t xml:space="preserve">결산 전 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선택 검증 후 점수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지급률로 포인트 지급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결산 취소 시 회수</t>
    </r>
  </si>
  <si>
    <t xml:space="preserve">원장 멱등 지급</t>
  </si>
  <si>
    <t xml:space="preserve">관리</t>
  </si>
  <si>
    <t xml:space="preserve">기록 입력</t>
  </si>
  <si>
    <t xml:space="preserve">FAN-004</t>
  </si>
  <si>
    <r>
      <rPr>
        <sz val="10"/>
        <rFont val="Noto Sans CJK SC"/>
        <family val="2"/>
      </rPr>
      <t xml:space="preserve">관리자가 경기별 타자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투수 기록 입력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선수 코드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이름 대조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잘못된 기록 거절</t>
    </r>
  </si>
  <si>
    <t xml:space="preserve">/fantasy/admin</t>
  </si>
  <si>
    <t xml:space="preserve">관리자</t>
  </si>
  <si>
    <r>
      <rPr>
        <sz val="10"/>
        <rFont val="Noto Sans CJK SC"/>
        <family val="2"/>
      </rPr>
      <t xml:space="preserve">검사 방식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확정</t>
    </r>
  </si>
  <si>
    <t xml:space="preserve">ADMIN-001</t>
  </si>
  <si>
    <r>
      <rPr>
        <sz val="10"/>
        <rFont val="Noto Sans CJK SC"/>
        <family val="2"/>
      </rPr>
      <t xml:space="preserve">자동</t>
    </r>
    <r>
      <rPr>
        <sz val="10"/>
        <rFont val="Arial"/>
        <family val="0"/>
        <charset val="1"/>
      </rPr>
      <t xml:space="preserve">(OpenAI) / </t>
    </r>
    <r>
      <rPr>
        <sz val="10"/>
        <rFont val="Noto Sans CJK SC"/>
        <family val="2"/>
      </rPr>
      <t xml:space="preserve">수동 검사 선택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막힌 글 사유 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보류 확정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근거 필수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</si>
  <si>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게시글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회원</t>
    </r>
  </si>
  <si>
    <t xml:space="preserve">신고 우선 관리</t>
  </si>
  <si>
    <t xml:space="preserve">ADMIN-002</t>
  </si>
  <si>
    <r>
      <rPr>
        <sz val="10"/>
        <rFont val="Noto Sans CJK SC"/>
        <family val="2"/>
      </rPr>
      <t xml:space="preserve">신고 게시글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누적 신고 회원 우선 조회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검토 완료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숨김 해제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공개 복구</t>
    </r>
  </si>
  <si>
    <t xml:space="preserve">데이터</t>
  </si>
  <si>
    <r>
      <rPr>
        <sz val="10"/>
        <rFont val="Noto Sans CJK SC"/>
        <family val="2"/>
      </rPr>
      <t xml:space="preserve">야구 데이터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피드백</t>
    </r>
  </si>
  <si>
    <t xml:space="preserve">ADMIN-003</t>
  </si>
  <si>
    <r>
      <rPr>
        <sz val="10"/>
        <rFont val="Noto Sans CJK SC"/>
        <family val="2"/>
      </rPr>
      <t xml:space="preserve">야구 데이터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답변 피드백 조회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채팅 진행 기록 상세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관리자만</t>
    </r>
    <r>
      <rPr>
        <sz val="10"/>
        <rFont val="Arial"/>
        <family val="0"/>
        <charset val="1"/>
      </rPr>
      <t xml:space="preserve">)</t>
    </r>
  </si>
  <si>
    <t xml:space="preserve">/admin</t>
  </si>
  <si>
    <t xml:space="preserve">공통</t>
  </si>
  <si>
    <t xml:space="preserve">반응형</t>
  </si>
  <si>
    <r>
      <rPr>
        <sz val="10"/>
        <rFont val="Arial"/>
        <family val="0"/>
        <charset val="1"/>
      </rPr>
      <t xml:space="preserve">PC · </t>
    </r>
    <r>
      <rPr>
        <sz val="10"/>
        <rFont val="Noto Sans CJK SC"/>
        <family val="2"/>
      </rPr>
      <t xml:space="preserve">태블릿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모바일</t>
    </r>
  </si>
  <si>
    <t xml:space="preserve">CMN-001</t>
  </si>
  <si>
    <t xml:space="preserve">모바일 우선 레이아웃</t>
  </si>
  <si>
    <t xml:space="preserve">모바일</t>
  </si>
  <si>
    <t xml:space="preserve">설치형 웹앱</t>
  </si>
  <si>
    <t xml:space="preserve">CMN-002</t>
  </si>
  <si>
    <r>
      <rPr>
        <sz val="10"/>
        <rFont val="Arial"/>
        <family val="0"/>
        <charset val="1"/>
      </rPr>
      <t xml:space="preserve">PWA manifest · </t>
    </r>
    <r>
      <rPr>
        <sz val="10"/>
        <rFont val="Noto Sans CJK SC"/>
        <family val="2"/>
      </rPr>
      <t xml:space="preserve">서비스 워커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홈 화면 설치</t>
    </r>
  </si>
  <si>
    <t xml:space="preserve">푸시 알림은 향후</t>
  </si>
  <si>
    <t xml:space="preserve">알림</t>
  </si>
  <si>
    <t xml:space="preserve">관심 경기 알림</t>
  </si>
  <si>
    <t xml:space="preserve">CMN-003</t>
  </si>
  <si>
    <r>
      <rPr>
        <sz val="10"/>
        <rFont val="Noto Sans CJK SC"/>
        <family val="2"/>
      </rPr>
      <t xml:space="preserve">관심 경기 저장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경기 당일 알림</t>
    </r>
  </si>
  <si>
    <t xml:space="preserve">수집</t>
  </si>
  <si>
    <r>
      <rPr>
        <sz val="10"/>
        <rFont val="Noto Sans CJK SC"/>
        <family val="2"/>
      </rPr>
      <t xml:space="preserve">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선수 자동 갱신</t>
    </r>
  </si>
  <si>
    <t xml:space="preserve">DATA-001</t>
  </si>
  <si>
    <r>
      <rPr>
        <sz val="10"/>
        <rFont val="Arial"/>
        <family val="0"/>
        <charset val="1"/>
      </rPr>
      <t xml:space="preserve">TVING </t>
    </r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선수 → </t>
    </r>
    <r>
      <rPr>
        <sz val="10"/>
        <rFont val="Arial"/>
        <family val="0"/>
        <charset val="1"/>
      </rPr>
      <t xml:space="preserve">DB upsert, </t>
    </r>
    <r>
      <rPr>
        <sz val="10"/>
        <rFont val="Noto Sans CJK SC"/>
        <family val="2"/>
      </rPr>
      <t xml:space="preserve">티켓 정책은 바뀐 행만 벡터 갱신</t>
    </r>
  </si>
  <si>
    <r>
      <rPr>
        <sz val="10"/>
        <rFont val="Noto Sans CJK SC"/>
        <family val="2"/>
      </rPr>
      <t xml:space="preserve">크롤링 </t>
    </r>
    <r>
      <rPr>
        <sz val="10"/>
        <rFont val="Arial"/>
        <family val="0"/>
        <charset val="1"/>
      </rPr>
      <t xml:space="preserve">v3, doc_id + content_hash, EC2 cron</t>
    </r>
  </si>
  <si>
    <r>
      <rPr>
        <sz val="10"/>
        <rFont val="Noto Sans CJK SC"/>
        <family val="2"/>
      </rPr>
      <t xml:space="preserve">구장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장소</t>
    </r>
  </si>
  <si>
    <t xml:space="preserve">DATA-002</t>
  </si>
  <si>
    <r>
      <rPr>
        <sz val="10"/>
        <rFont val="Noto Sans CJK SC"/>
        <family val="2"/>
      </rPr>
      <t xml:space="preserve">구단 홈페이지 수동 조사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 장소 수집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장소 </t>
    </r>
    <r>
      <rPr>
        <sz val="10"/>
        <rFont val="Arial"/>
        <family val="0"/>
        <charset val="1"/>
      </rPr>
      <t xml:space="preserve">RAG</t>
    </r>
  </si>
  <si>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data/raw </t>
    </r>
    <r>
      <rPr>
        <sz val="10"/>
        <rFont val="Noto Sans CJK SC"/>
        <family val="2"/>
      </rPr>
      <t xml:space="preserve">보존</t>
    </r>
  </si>
  <si>
    <t xml:space="preserve">DATA-003</t>
  </si>
  <si>
    <r>
      <rPr>
        <sz val="10"/>
        <rFont val="Arial"/>
        <family val="0"/>
        <charset val="1"/>
      </rPr>
      <t xml:space="preserve">KBO </t>
    </r>
    <r>
      <rPr>
        <sz val="10"/>
        <rFont val="Noto Sans CJK SC"/>
        <family val="2"/>
      </rPr>
      <t xml:space="preserve">공식 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재생목록 → </t>
    </r>
    <r>
      <rPr>
        <sz val="10"/>
        <rFont val="Arial"/>
        <family val="0"/>
        <charset val="1"/>
      </rPr>
      <t xml:space="preserve">Gemini </t>
    </r>
    <r>
      <rPr>
        <sz val="10"/>
        <rFont val="Noto Sans CJK SC"/>
        <family val="2"/>
      </rPr>
      <t xml:space="preserve">장면표 → </t>
    </r>
    <r>
      <rPr>
        <sz val="10"/>
        <rFont val="Arial"/>
        <family val="0"/>
        <charset val="1"/>
      </rPr>
      <t xml:space="preserve">Qdrant</t>
    </r>
  </si>
  <si>
    <t xml:space="preserve">수집 예산 상한</t>
  </si>
  <si>
    <t xml:space="preserve">색인</t>
  </si>
  <si>
    <t xml:space="preserve">하이브리드 색인</t>
  </si>
  <si>
    <t xml:space="preserve">DATA-004</t>
  </si>
  <si>
    <r>
      <rPr>
        <sz val="10"/>
        <rFont val="Arial"/>
        <family val="0"/>
        <charset val="1"/>
      </rPr>
      <t xml:space="preserve">Qdrant </t>
    </r>
    <r>
      <rPr>
        <sz val="10"/>
        <rFont val="Noto Sans CJK SC"/>
        <family val="2"/>
      </rPr>
      <t xml:space="preserve">벡터 </t>
    </r>
    <r>
      <rPr>
        <sz val="10"/>
        <rFont val="Arial"/>
        <family val="0"/>
        <charset val="1"/>
      </rPr>
      <t xml:space="preserve">+ BM25 sparse </t>
    </r>
    <r>
      <rPr>
        <sz val="10"/>
        <rFont val="Noto Sans CJK SC"/>
        <family val="2"/>
      </rPr>
      <t xml:space="preserve">색인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 시 </t>
    </r>
    <r>
      <rPr>
        <sz val="10"/>
        <rFont val="Arial"/>
        <family val="0"/>
        <charset val="1"/>
      </rPr>
      <t xml:space="preserve">RRF → </t>
    </r>
    <r>
      <rPr>
        <sz val="10"/>
        <rFont val="Noto Sans CJK SC"/>
        <family val="2"/>
      </rPr>
      <t xml:space="preserve">리랭크</t>
    </r>
  </si>
  <si>
    <t xml:space="preserve">build_index · build_sparse_index</t>
  </si>
  <si>
    <r>
      <rPr>
        <sz val="10"/>
        <rFont val="Noto Sans CJK SC"/>
        <family val="2"/>
      </rPr>
      <t xml:space="preserve">벡터 백업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복원</t>
    </r>
  </si>
  <si>
    <t xml:space="preserve">DATA-005</t>
  </si>
  <si>
    <r>
      <rPr>
        <sz val="10"/>
        <rFont val="Arial"/>
        <family val="0"/>
        <charset val="1"/>
      </rPr>
      <t xml:space="preserve">Qdrant </t>
    </r>
    <r>
      <rPr>
        <sz val="10"/>
        <rFont val="Noto Sans CJK SC"/>
        <family val="2"/>
      </rPr>
      <t xml:space="preserve">문서 스냅샷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하이라이트 코퍼스를 </t>
    </r>
    <r>
      <rPr>
        <sz val="10"/>
        <rFont val="Arial"/>
        <family val="0"/>
        <charset val="1"/>
      </rPr>
      <t xml:space="preserve">DVC</t>
    </r>
    <r>
      <rPr>
        <sz val="10"/>
        <rFont val="Noto Sans CJK SC"/>
        <family val="2"/>
      </rPr>
      <t xml:space="preserve">로 백업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기동 때 </t>
    </r>
    <r>
      <rPr>
        <sz val="10"/>
        <rFont val="Arial"/>
        <family val="0"/>
        <charset val="1"/>
      </rPr>
      <t xml:space="preserve">vector-init</t>
    </r>
    <r>
      <rPr>
        <sz val="10"/>
        <rFont val="Noto Sans CJK SC"/>
        <family val="2"/>
      </rPr>
      <t xml:space="preserve">이 복원</t>
    </r>
  </si>
  <si>
    <r>
      <rPr>
        <sz val="10"/>
        <rFont val="Noto Sans CJK SC"/>
        <family val="2"/>
      </rPr>
      <t xml:space="preserve">인증 기반 </t>
    </r>
    <r>
      <rPr>
        <sz val="10"/>
        <rFont val="Arial"/>
        <family val="0"/>
        <charset val="1"/>
      </rPr>
      <t xml:space="preserve">DVC(Google Drive)</t>
    </r>
  </si>
  <si>
    <t xml:space="preserve">총 요구사항 건수</t>
  </si>
  <si>
    <r>
      <rPr>
        <sz val="10"/>
        <rFont val="Noto Sans CJK SC"/>
        <family val="2"/>
      </rPr>
      <t xml:space="preserve">구현</t>
    </r>
    <r>
      <rPr>
        <sz val="10"/>
        <rFont val="Arial"/>
        <family val="0"/>
        <charset val="1"/>
      </rPr>
      <t xml:space="preserve">(✅)</t>
    </r>
  </si>
  <si>
    <r>
      <rPr>
        <sz val="10"/>
        <rFont val="Noto Sans CJK SC"/>
        <family val="2"/>
      </rPr>
      <t xml:space="preserve">일부 구현</t>
    </r>
    <r>
      <rPr>
        <sz val="10"/>
        <rFont val="Arial"/>
        <family val="0"/>
        <charset val="1"/>
      </rPr>
      <t xml:space="preserve">(🟡)</t>
    </r>
  </si>
  <si>
    <r>
      <rPr>
        <sz val="10"/>
        <rFont val="Noto Sans CJK SC"/>
        <family val="2"/>
      </rPr>
      <t xml:space="preserve">향후</t>
    </r>
    <r>
      <rPr>
        <sz val="10"/>
        <rFont val="Arial"/>
        <family val="0"/>
        <charset val="1"/>
      </rPr>
      <t xml:space="preserve">(⏳)</t>
    </r>
  </si>
  <si>
    <r>
      <rPr>
        <i val="true"/>
        <sz val="9"/>
        <color rgb="FF595959"/>
        <rFont val="Noto Sans CJK SC"/>
        <family val="2"/>
      </rPr>
      <t xml:space="preserve">상태</t>
    </r>
    <r>
      <rPr>
        <i val="true"/>
        <sz val="9"/>
        <color rgb="FF595959"/>
        <rFont val="Arial"/>
        <family val="0"/>
        <charset val="1"/>
      </rPr>
      <t xml:space="preserve">: ✅ </t>
    </r>
    <r>
      <rPr>
        <i val="true"/>
        <sz val="9"/>
        <color rgb="FF595959"/>
        <rFont val="Noto Sans CJK SC"/>
        <family val="2"/>
      </rPr>
      <t xml:space="preserve">구현 </t>
    </r>
    <r>
      <rPr>
        <i val="true"/>
        <sz val="9"/>
        <color rgb="FF595959"/>
        <rFont val="Arial"/>
        <family val="0"/>
        <charset val="1"/>
      </rPr>
      <t xml:space="preserve">· 🟡 </t>
    </r>
    <r>
      <rPr>
        <i val="true"/>
        <sz val="9"/>
        <color rgb="FF595959"/>
        <rFont val="Noto Sans CJK SC"/>
        <family val="2"/>
      </rPr>
      <t xml:space="preserve">일부 구현 </t>
    </r>
    <r>
      <rPr>
        <i val="true"/>
        <sz val="9"/>
        <color rgb="FF595959"/>
        <rFont val="Arial"/>
        <family val="0"/>
        <charset val="1"/>
      </rPr>
      <t xml:space="preserve">· ⏳ </t>
    </r>
    <r>
      <rPr>
        <i val="true"/>
        <sz val="9"/>
        <color rgb="FF595959"/>
        <rFont val="Noto Sans CJK SC"/>
        <family val="2"/>
      </rPr>
      <t xml:space="preserve">향후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비고</t>
    </r>
    <r>
      <rPr>
        <i val="true"/>
        <sz val="9"/>
        <color rgb="FF595959"/>
        <rFont val="Arial"/>
        <family val="0"/>
        <charset val="1"/>
      </rPr>
      <t xml:space="preserve">: 3</t>
    </r>
    <r>
      <rPr>
        <i val="true"/>
        <sz val="9"/>
        <color rgb="FF595959"/>
        <rFont val="Noto Sans CJK SC"/>
        <family val="2"/>
      </rPr>
      <t xml:space="preserve">차 </t>
    </r>
    <r>
      <rPr>
        <i val="true"/>
        <sz val="9"/>
        <color rgb="FF595959"/>
        <rFont val="Arial"/>
        <family val="0"/>
        <charset val="1"/>
      </rPr>
      <t xml:space="preserve">= 3</t>
    </r>
    <r>
      <rPr>
        <i val="true"/>
        <sz val="9"/>
        <color rgb="FF595959"/>
        <rFont val="Noto Sans CJK SC"/>
        <family val="2"/>
      </rPr>
      <t xml:space="preserve">차 구현 유지 </t>
    </r>
    <r>
      <rPr>
        <i val="true"/>
        <sz val="9"/>
        <color rgb="FF595959"/>
        <rFont val="Arial"/>
        <family val="0"/>
        <charset val="1"/>
      </rPr>
      <t xml:space="preserve">· 4</t>
    </r>
    <r>
      <rPr>
        <i val="true"/>
        <sz val="9"/>
        <color rgb="FF595959"/>
        <rFont val="Noto Sans CJK SC"/>
        <family val="2"/>
      </rPr>
      <t xml:space="preserve">차 신규 </t>
    </r>
    <r>
      <rPr>
        <i val="true"/>
        <sz val="9"/>
        <color rgb="FF595959"/>
        <rFont val="Arial"/>
        <family val="0"/>
        <charset val="1"/>
      </rPr>
      <t xml:space="preserve">· 4</t>
    </r>
    <r>
      <rPr>
        <i val="true"/>
        <sz val="9"/>
        <color rgb="FF595959"/>
        <rFont val="Noto Sans CJK SC"/>
        <family val="2"/>
      </rPr>
      <t xml:space="preserve">차 개선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Arial"/>
        <family val="0"/>
        <charset val="1"/>
      </rPr>
      <t xml:space="preserve">: develop 2026-10-15</t>
    </r>
  </si>
  <si>
    <r>
      <rPr>
        <b val="true"/>
        <sz val="13"/>
        <rFont val="Noto Sans CJK SC"/>
        <family val="2"/>
      </rPr>
      <t xml:space="preserve">비기능 요구사항 정의서 — </t>
    </r>
    <r>
      <rPr>
        <b val="true"/>
        <sz val="13"/>
        <rFont val="Arial"/>
        <family val="0"/>
        <charset val="1"/>
      </rPr>
      <t xml:space="preserve">KBO </t>
    </r>
    <r>
      <rPr>
        <b val="true"/>
        <sz val="13"/>
        <rFont val="Noto Sans CJK SC"/>
        <family val="2"/>
      </rPr>
      <t xml:space="preserve">직관 가이드 챗봇 </t>
    </r>
    <r>
      <rPr>
        <b val="true"/>
        <sz val="13"/>
        <rFont val="Arial"/>
        <family val="0"/>
        <charset val="1"/>
      </rPr>
      <t xml:space="preserve">(4</t>
    </r>
    <r>
      <rPr>
        <b val="true"/>
        <sz val="13"/>
        <rFont val="Noto Sans CJK SC"/>
        <family val="2"/>
      </rPr>
      <t xml:space="preserve">차</t>
    </r>
    <r>
      <rPr>
        <b val="true"/>
        <sz val="13"/>
        <rFont val="Arial"/>
        <family val="0"/>
        <charset val="1"/>
      </rPr>
      <t xml:space="preserve">)</t>
    </r>
  </si>
  <si>
    <t xml:space="preserve">항목</t>
  </si>
  <si>
    <t xml:space="preserve">요구사항</t>
  </si>
  <si>
    <r>
      <rPr>
        <b val="true"/>
        <sz val="10"/>
        <color rgb="FFFFFFFF"/>
        <rFont val="Noto Sans CJK SC"/>
        <family val="2"/>
      </rPr>
      <t xml:space="preserve">구현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검증</t>
    </r>
  </si>
  <si>
    <t xml:space="preserve">품질</t>
  </si>
  <si>
    <t xml:space="preserve">정확성</t>
  </si>
  <si>
    <t xml:space="preserve">NFR-001</t>
  </si>
  <si>
    <r>
      <rPr>
        <sz val="10"/>
        <rFont val="Noto Sans CJK SC"/>
        <family val="2"/>
      </rPr>
      <t xml:space="preserve">근거 있는 답변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모르는 것은 모른다고 답하기</t>
    </r>
  </si>
  <si>
    <r>
      <rPr>
        <sz val="10"/>
        <rFont val="Noto Sans CJK SC"/>
        <family val="2"/>
      </rPr>
      <t xml:space="preserve">실대화 평가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문항 </t>
    </r>
    <r>
      <rPr>
        <sz val="10"/>
        <rFont val="Arial"/>
        <family val="0"/>
        <charset val="1"/>
      </rPr>
      <t xml:space="preserve">58/59 × 2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남은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건은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시간 초과</t>
    </r>
    <r>
      <rPr>
        <sz val="10"/>
        <rFont val="Arial"/>
        <family val="0"/>
        <charset val="1"/>
      </rPr>
      <t xml:space="preserve">)</t>
    </r>
  </si>
  <si>
    <t xml:space="preserve">검색 정확도</t>
  </si>
  <si>
    <t xml:space="preserve">NFR-002</t>
  </si>
  <si>
    <r>
      <rPr>
        <sz val="10"/>
        <rFont val="Noto Sans CJK SC"/>
        <family val="2"/>
      </rPr>
      <t xml:space="preserve">규정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고유명사 질문도 정확한 문서를 상위로</t>
    </r>
  </si>
  <si>
    <r>
      <rPr>
        <sz val="10"/>
        <rFont val="Noto Sans CJK SC"/>
        <family val="2"/>
      </rPr>
      <t xml:space="preserve">규정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문항 </t>
    </r>
    <r>
      <rPr>
        <sz val="10"/>
        <rFont val="Arial"/>
        <family val="0"/>
        <charset val="1"/>
      </rPr>
      <t xml:space="preserve">Hit@1 0.710 → 0.903, MRR 0.811 → 0.952</t>
    </r>
  </si>
  <si>
    <t xml:space="preserve">도구 선택</t>
  </si>
  <si>
    <t xml:space="preserve">NFR-003</t>
  </si>
  <si>
    <r>
      <rPr>
        <sz val="10"/>
        <rFont val="Noto Sans CJK SC"/>
        <family val="2"/>
      </rPr>
      <t xml:space="preserve">질문에 맞는 도구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에이전트를 고르기</t>
    </r>
  </si>
  <si>
    <r>
      <rPr>
        <sz val="10"/>
        <rFont val="Noto Sans CJK SC"/>
        <family val="2"/>
      </rPr>
      <t xml:space="preserve">단계별 평가셋 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가드 → 분류 → 도구 → 위임 → 답변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중대 실패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종</t>
    </r>
  </si>
  <si>
    <t xml:space="preserve">NFR-004</t>
  </si>
  <si>
    <t xml:space="preserve">정상 질문은 막지 않고 무관 질문만 차단</t>
  </si>
  <si>
    <r>
      <rPr>
        <sz val="10"/>
        <rFont val="Noto Sans CJK SC"/>
        <family val="2"/>
      </rPr>
      <t xml:space="preserve">반복 측정 편의시설 </t>
    </r>
    <r>
      <rPr>
        <sz val="10"/>
        <rFont val="Arial"/>
        <family val="0"/>
        <charset val="1"/>
      </rPr>
      <t xml:space="preserve">PASS 3/10 → 10/10, </t>
    </r>
    <r>
      <rPr>
        <sz val="10"/>
        <rFont val="Noto Sans CJK SC"/>
        <family val="2"/>
      </rPr>
      <t xml:space="preserve">링크 요약 </t>
    </r>
    <r>
      <rPr>
        <sz val="10"/>
        <rFont val="Arial"/>
        <family val="0"/>
        <charset val="1"/>
      </rPr>
      <t xml:space="preserve">0/10 → 10/10</t>
    </r>
  </si>
  <si>
    <t xml:space="preserve">회귀 방지</t>
  </si>
  <si>
    <t xml:space="preserve">NFR-005</t>
  </si>
  <si>
    <t xml:space="preserve">품질이 떨어지는 변경은 배포 안 함</t>
  </si>
  <si>
    <r>
      <rPr>
        <sz val="10"/>
        <rFont val="Arial"/>
        <family val="0"/>
        <charset val="1"/>
      </rPr>
      <t xml:space="preserve">evaluation-regression CI </t>
    </r>
    <r>
      <rPr>
        <sz val="10"/>
        <rFont val="Noto Sans CJK SC"/>
        <family val="2"/>
      </rPr>
      <t xml:space="preserve">필수 통과</t>
    </r>
  </si>
  <si>
    <t xml:space="preserve">성능</t>
  </si>
  <si>
    <t xml:space="preserve">응답성</t>
  </si>
  <si>
    <t xml:space="preserve">NFR-006</t>
  </si>
  <si>
    <t xml:space="preserve">기다리는 동안 빈 화면 없애기</t>
  </si>
  <si>
    <r>
      <rPr>
        <sz val="10"/>
        <rFont val="Arial"/>
        <family val="0"/>
        <charset val="1"/>
      </rPr>
      <t xml:space="preserve">SSE </t>
    </r>
    <r>
      <rPr>
        <sz val="10"/>
        <rFont val="Noto Sans CJK SC"/>
        <family val="2"/>
      </rPr>
      <t xml:space="preserve">토큰 스트리밍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진행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길찾기 </t>
    </r>
    <r>
      <rPr>
        <sz val="10"/>
        <rFont val="Arial"/>
        <family val="0"/>
        <charset val="1"/>
      </rPr>
      <t xml:space="preserve">44.7s → 22.5s, </t>
    </r>
    <r>
      <rPr>
        <sz val="10"/>
        <rFont val="Noto Sans CJK SC"/>
        <family val="2"/>
      </rPr>
      <t xml:space="preserve">숙소 </t>
    </r>
    <r>
      <rPr>
        <sz val="10"/>
        <rFont val="Arial"/>
        <family val="0"/>
        <charset val="1"/>
      </rPr>
      <t xml:space="preserve">58s → 24 ~ 33s</t>
    </r>
  </si>
  <si>
    <t xml:space="preserve">인덱싱</t>
  </si>
  <si>
    <t xml:space="preserve">NFR-007</t>
  </si>
  <si>
    <t xml:space="preserve">요청마다 재색인하지 않고 바뀐 데이터만 갱신</t>
  </si>
  <si>
    <r>
      <rPr>
        <sz val="10"/>
        <rFont val="Noto Sans CJK SC"/>
        <family val="2"/>
      </rPr>
      <t xml:space="preserve">인덱싱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서빙 분리</t>
    </r>
    <r>
      <rPr>
        <sz val="10"/>
        <rFont val="Arial"/>
        <family val="0"/>
        <charset val="1"/>
      </rPr>
      <t xml:space="preserve">, content_hash </t>
    </r>
    <r>
      <rPr>
        <sz val="10"/>
        <rFont val="Noto Sans CJK SC"/>
        <family val="2"/>
      </rPr>
      <t xml:space="preserve">증분 </t>
    </r>
    <r>
      <rPr>
        <sz val="10"/>
        <rFont val="Arial"/>
        <family val="0"/>
        <charset val="1"/>
      </rPr>
      <t xml:space="preserve">upsert</t>
    </r>
  </si>
  <si>
    <t xml:space="preserve">보안</t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</si>
  <si>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보안</t>
    </r>
  </si>
  <si>
    <t xml:space="preserve">NFR-008</t>
  </si>
  <si>
    <t xml:space="preserve">챗봇이 데이터를 바꾸지 못하게</t>
  </si>
  <si>
    <r>
      <rPr>
        <sz val="10"/>
        <rFont val="Noto Sans CJK SC"/>
        <family val="2"/>
      </rPr>
      <t xml:space="preserve">읽기 전용 계정</t>
    </r>
    <r>
      <rPr>
        <sz val="10"/>
        <rFont val="Arial"/>
        <family val="0"/>
        <charset val="1"/>
      </rPr>
      <t xml:space="preserve">, SELECT 1</t>
    </r>
    <r>
      <rPr>
        <sz val="10"/>
        <rFont val="Noto Sans CJK SC"/>
        <family val="2"/>
      </rPr>
      <t xml:space="preserve">문장 검증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 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시간 제한</t>
    </r>
  </si>
  <si>
    <t xml:space="preserve">비밀 정보</t>
  </si>
  <si>
    <t xml:space="preserve">NFR-009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</si>
  <si>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인증 파일 노출 금지</t>
    </r>
  </si>
  <si>
    <r>
      <rPr>
        <sz val="10"/>
        <rFont val="Arial"/>
        <family val="0"/>
        <charset val="1"/>
      </rPr>
      <t xml:space="preserve">.env · GitHub Secrets, DVC </t>
    </r>
    <r>
      <rPr>
        <sz val="10"/>
        <rFont val="Noto Sans CJK SC"/>
        <family val="2"/>
      </rPr>
      <t xml:space="preserve">인증 파일은 </t>
    </r>
    <r>
      <rPr>
        <sz val="10"/>
        <rFont val="Arial"/>
        <family val="0"/>
        <charset val="1"/>
      </rPr>
      <t xml:space="preserve">Git </t>
    </r>
    <r>
      <rPr>
        <sz val="10"/>
        <rFont val="Noto Sans CJK SC"/>
        <family val="2"/>
      </rPr>
      <t xml:space="preserve">제외</t>
    </r>
  </si>
  <si>
    <t xml:space="preserve">접근 제어</t>
  </si>
  <si>
    <t xml:space="preserve">NFR-010</t>
  </si>
  <si>
    <r>
      <rPr>
        <sz val="10"/>
        <rFont val="Noto Sans CJK SC"/>
        <family val="2"/>
      </rPr>
      <t xml:space="preserve">허용한 주소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권한으로만 접근</t>
    </r>
  </si>
  <si>
    <r>
      <rPr>
        <sz val="10"/>
        <rFont val="Arial"/>
        <family val="0"/>
        <charset val="1"/>
      </rPr>
      <t xml:space="preserve">DJANGO_ALLOWED_HOSTS, </t>
    </r>
    <r>
      <rPr>
        <sz val="10"/>
        <rFont val="Noto Sans CJK SC"/>
        <family val="2"/>
      </rPr>
      <t xml:space="preserve">진행 기록 상세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게시 검사는 관리자만</t>
    </r>
  </si>
  <si>
    <t xml:space="preserve">운영</t>
  </si>
  <si>
    <t xml:space="preserve">배포</t>
  </si>
  <si>
    <t xml:space="preserve">NFR-011</t>
  </si>
  <si>
    <r>
      <rPr>
        <sz val="10"/>
        <rFont val="Noto Sans CJK SC"/>
        <family val="2"/>
      </rPr>
      <t xml:space="preserve">개발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운영 분리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자동 배포</t>
    </r>
  </si>
  <si>
    <r>
      <rPr>
        <sz val="10"/>
        <rFont val="Arial"/>
        <family val="0"/>
        <charset val="1"/>
      </rPr>
      <t xml:space="preserve">develop → </t>
    </r>
    <r>
      <rPr>
        <sz val="10"/>
        <rFont val="Noto Sans CJK SC"/>
        <family val="2"/>
      </rPr>
      <t xml:space="preserve">개발 </t>
    </r>
    <r>
      <rPr>
        <sz val="10"/>
        <rFont val="Arial"/>
        <family val="0"/>
        <charset val="1"/>
      </rPr>
      <t xml:space="preserve">EC2, main → </t>
    </r>
    <r>
      <rPr>
        <sz val="10"/>
        <rFont val="Noto Sans CJK SC"/>
        <family val="2"/>
      </rPr>
      <t xml:space="preserve">운영 </t>
    </r>
    <r>
      <rPr>
        <sz val="10"/>
        <rFont val="Arial"/>
        <family val="0"/>
        <charset val="1"/>
      </rPr>
      <t xml:space="preserve">EC2, Discord </t>
    </r>
    <r>
      <rPr>
        <sz val="10"/>
        <rFont val="Noto Sans CJK SC"/>
        <family val="2"/>
      </rPr>
      <t xml:space="preserve">알림</t>
    </r>
  </si>
  <si>
    <t xml:space="preserve">안정성</t>
  </si>
  <si>
    <t xml:space="preserve">NFR-012</t>
  </si>
  <si>
    <t xml:space="preserve">외부 서비스 실패에도 답변 유지</t>
  </si>
  <si>
    <r>
      <rPr>
        <sz val="10"/>
        <rFont val="Noto Sans CJK SC"/>
        <family val="2"/>
      </rPr>
      <t xml:space="preserve">리랭커 실패 시 이전 순서 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조회 실패 답변 규칙</t>
    </r>
  </si>
  <si>
    <t xml:space="preserve">비용</t>
  </si>
  <si>
    <t xml:space="preserve">NFR-013</t>
  </si>
  <si>
    <t xml:space="preserve">사용량 상한</t>
  </si>
  <si>
    <r>
      <rPr>
        <sz val="10"/>
        <rFont val="Noto Sans CJK SC"/>
        <family val="2"/>
      </rPr>
      <t xml:space="preserve">토큰 실사용 정산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하이라이트 수집 예산 상한</t>
    </r>
  </si>
  <si>
    <t xml:space="preserve">정책</t>
  </si>
  <si>
    <t xml:space="preserve">데이터 수집</t>
  </si>
  <si>
    <t xml:space="preserve">NFR-014</t>
  </si>
  <si>
    <r>
      <rPr>
        <sz val="10"/>
        <rFont val="Noto Sans CJK SC"/>
        <family val="2"/>
      </rPr>
      <t xml:space="preserve">수집이 허용된 곳만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저작권 데이터 제외</t>
    </r>
  </si>
  <si>
    <r>
      <rPr>
        <sz val="10"/>
        <rFont val="Arial"/>
        <family val="0"/>
        <charset val="1"/>
      </rPr>
      <t xml:space="preserve">robots.txt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응원가 가사 제외</t>
    </r>
  </si>
  <si>
    <t xml:space="preserve">영상 저작권</t>
  </si>
  <si>
    <t xml:space="preserve">NFR-015</t>
  </si>
  <si>
    <r>
      <rPr>
        <sz val="10"/>
        <rFont val="Noto Sans CJK SC"/>
        <family val="2"/>
      </rPr>
      <t xml:space="preserve">영상 다운로드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재배포 금지</t>
    </r>
  </si>
  <si>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공식 임베드만 사용</t>
    </r>
  </si>
  <si>
    <t xml:space="preserve">커뮤니티 운영</t>
  </si>
  <si>
    <t xml:space="preserve">NFR-016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</si>
  <si>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분류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최종 조치는 관리자</t>
    </r>
  </si>
  <si>
    <t xml:space="preserve">자동 검사는 공개 여부만 바꾸고 삭제는 사람이 직접</t>
  </si>
  <si>
    <t xml:space="preserve">유지보수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</si>
  <si>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계약</t>
    </r>
  </si>
  <si>
    <t xml:space="preserve">NFR-017</t>
  </si>
  <si>
    <r>
      <rPr>
        <sz val="10"/>
        <rFont val="Noto Sans CJK SC"/>
        <family val="2"/>
      </rPr>
      <t xml:space="preserve">프론트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백엔드 응답 형식 일치</t>
    </r>
  </si>
  <si>
    <r>
      <rPr>
        <sz val="10"/>
        <rFont val="Arial"/>
        <family val="0"/>
        <charset val="1"/>
      </rPr>
      <t xml:space="preserve">OpenAPI </t>
    </r>
    <r>
      <rPr>
        <sz val="10"/>
        <rFont val="Noto Sans CJK SC"/>
        <family val="2"/>
      </rPr>
      <t xml:space="preserve">계약 자동 생성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, /api/v1 · /api/v2 </t>
    </r>
    <r>
      <rPr>
        <sz val="10"/>
        <rFont val="Noto Sans CJK SC"/>
        <family val="2"/>
      </rPr>
      <t xml:space="preserve">버저닝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</si>
</sst>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60"/>
    <col collapsed="false" customWidth="true" hidden="false" outlineLevel="0" max="7" min="7" style="0" width="42"/>
    <col collapsed="false" customWidth="true" hidden="false" outlineLevel="0" max="8" min="8" style="0" width="11"/>
    <col collapsed="false" customWidth="true" hidden="false" outlineLevel="0" max="9" min="9" style="0" width="7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customFormat="false" ht="15" hidden="false" customHeight="false" outlineLevel="0" collapsed="false">
      <c r="B3" s="3" t="s">
        <v>9</v>
      </c>
      <c r="C3" s="3" t="s">
        <v>10</v>
      </c>
      <c r="D3" s="3" t="s">
        <v>11</v>
      </c>
      <c r="E3" s="4" t="s">
        <v>12</v>
      </c>
      <c r="F3" s="3" t="s">
        <v>13</v>
      </c>
      <c r="G3" s="4" t="s">
        <v>14</v>
      </c>
      <c r="H3" s="4" t="s">
        <v>15</v>
      </c>
      <c r="I3" s="5" t="s">
        <v>16</v>
      </c>
    </row>
    <row r="4" customFormat="false" ht="15" hidden="false" customHeight="false" outlineLevel="0" collapsed="false">
      <c r="B4" s="3" t="s">
        <v>9</v>
      </c>
      <c r="C4" s="3" t="s">
        <v>10</v>
      </c>
      <c r="D4" s="3" t="s">
        <v>17</v>
      </c>
      <c r="E4" s="4" t="s">
        <v>18</v>
      </c>
      <c r="F4" s="3" t="s">
        <v>19</v>
      </c>
      <c r="G4" s="4" t="s">
        <v>20</v>
      </c>
      <c r="H4" s="4" t="s">
        <v>21</v>
      </c>
      <c r="I4" s="5" t="s">
        <v>16</v>
      </c>
    </row>
    <row r="5" customFormat="false" ht="15" hidden="false" customHeight="false" outlineLevel="0" collapsed="false">
      <c r="B5" s="3" t="s">
        <v>9</v>
      </c>
      <c r="C5" s="3" t="s">
        <v>22</v>
      </c>
      <c r="D5" s="3" t="s">
        <v>23</v>
      </c>
      <c r="E5" s="4" t="s">
        <v>24</v>
      </c>
      <c r="F5" s="4" t="s">
        <v>25</v>
      </c>
      <c r="G5" s="4" t="s">
        <v>26</v>
      </c>
      <c r="H5" s="4" t="s">
        <v>15</v>
      </c>
      <c r="I5" s="5" t="s">
        <v>16</v>
      </c>
    </row>
    <row r="6" customFormat="false" ht="15" hidden="false" customHeight="false" outlineLevel="0" collapsed="false">
      <c r="B6" s="3" t="s">
        <v>9</v>
      </c>
      <c r="C6" s="3" t="s">
        <v>22</v>
      </c>
      <c r="D6" s="3" t="s">
        <v>27</v>
      </c>
      <c r="E6" s="4" t="s">
        <v>28</v>
      </c>
      <c r="F6" s="3" t="s">
        <v>29</v>
      </c>
      <c r="G6" s="3" t="s">
        <v>30</v>
      </c>
      <c r="H6" s="4" t="s">
        <v>15</v>
      </c>
      <c r="I6" s="5" t="s">
        <v>31</v>
      </c>
    </row>
    <row r="7" customFormat="false" ht="15" hidden="false" customHeight="false" outlineLevel="0" collapsed="false">
      <c r="B7" s="3" t="s">
        <v>9</v>
      </c>
      <c r="C7" s="3" t="s">
        <v>32</v>
      </c>
      <c r="D7" s="3" t="s">
        <v>33</v>
      </c>
      <c r="E7" s="4" t="s">
        <v>34</v>
      </c>
      <c r="F7" s="3" t="s">
        <v>35</v>
      </c>
      <c r="G7" s="3" t="s">
        <v>36</v>
      </c>
      <c r="H7" s="4" t="s">
        <v>15</v>
      </c>
      <c r="I7" s="5" t="s">
        <v>16</v>
      </c>
    </row>
    <row r="8" customFormat="false" ht="15" hidden="false" customHeight="false" outlineLevel="0" collapsed="false">
      <c r="B8" s="3" t="s">
        <v>9</v>
      </c>
      <c r="C8" s="3" t="s">
        <v>37</v>
      </c>
      <c r="D8" s="3" t="s">
        <v>38</v>
      </c>
      <c r="E8" s="4" t="s">
        <v>39</v>
      </c>
      <c r="F8" s="3" t="s">
        <v>40</v>
      </c>
      <c r="G8" s="3" t="s">
        <v>41</v>
      </c>
      <c r="H8" s="4" t="s">
        <v>21</v>
      </c>
      <c r="I8" s="5" t="s">
        <v>16</v>
      </c>
    </row>
    <row r="9" customFormat="false" ht="29.85" hidden="false" customHeight="false" outlineLevel="0" collapsed="false">
      <c r="B9" s="3" t="s">
        <v>9</v>
      </c>
      <c r="C9" s="3" t="s">
        <v>42</v>
      </c>
      <c r="D9" s="3" t="s">
        <v>43</v>
      </c>
      <c r="E9" s="4" t="s">
        <v>44</v>
      </c>
      <c r="F9" s="3" t="s">
        <v>45</v>
      </c>
      <c r="G9" s="3" t="s">
        <v>46</v>
      </c>
      <c r="H9" s="4" t="s">
        <v>21</v>
      </c>
      <c r="I9" s="5" t="s">
        <v>16</v>
      </c>
    </row>
    <row r="10" customFormat="false" ht="15" hidden="false" customHeight="false" outlineLevel="0" collapsed="false">
      <c r="B10" s="3" t="s">
        <v>9</v>
      </c>
      <c r="C10" s="3" t="s">
        <v>47</v>
      </c>
      <c r="D10" s="3" t="s">
        <v>48</v>
      </c>
      <c r="E10" s="4" t="s">
        <v>49</v>
      </c>
      <c r="F10" s="3" t="s">
        <v>50</v>
      </c>
      <c r="G10" s="3" t="s">
        <v>51</v>
      </c>
      <c r="H10" s="4" t="s">
        <v>52</v>
      </c>
      <c r="I10" s="5" t="s">
        <v>16</v>
      </c>
    </row>
    <row r="11" customFormat="false" ht="15" hidden="false" customHeight="false" outlineLevel="0" collapsed="false">
      <c r="B11" s="3" t="s">
        <v>53</v>
      </c>
      <c r="C11" s="3" t="s">
        <v>54</v>
      </c>
      <c r="D11" s="3" t="s">
        <v>55</v>
      </c>
      <c r="E11" s="4" t="s">
        <v>56</v>
      </c>
      <c r="F11" s="3" t="s">
        <v>57</v>
      </c>
      <c r="G11" s="4" t="s">
        <v>58</v>
      </c>
      <c r="H11" s="4" t="s">
        <v>15</v>
      </c>
      <c r="I11" s="5" t="s">
        <v>16</v>
      </c>
    </row>
    <row r="12" customFormat="false" ht="15" hidden="false" customHeight="false" outlineLevel="0" collapsed="false">
      <c r="B12" s="3" t="s">
        <v>53</v>
      </c>
      <c r="C12" s="3" t="s">
        <v>59</v>
      </c>
      <c r="D12" s="3" t="s">
        <v>60</v>
      </c>
      <c r="E12" s="4" t="s">
        <v>61</v>
      </c>
      <c r="F12" s="3" t="s">
        <v>62</v>
      </c>
      <c r="G12" s="3" t="s">
        <v>63</v>
      </c>
      <c r="H12" s="4" t="s">
        <v>21</v>
      </c>
      <c r="I12" s="5" t="s">
        <v>31</v>
      </c>
    </row>
    <row r="13" customFormat="false" ht="15" hidden="false" customHeight="false" outlineLevel="0" collapsed="false">
      <c r="B13" s="3" t="s">
        <v>64</v>
      </c>
      <c r="C13" s="3" t="s">
        <v>65</v>
      </c>
      <c r="D13" s="3" t="s">
        <v>66</v>
      </c>
      <c r="E13" s="4" t="s">
        <v>67</v>
      </c>
      <c r="F13" s="3" t="s">
        <v>68</v>
      </c>
      <c r="G13" s="4" t="s">
        <v>69</v>
      </c>
      <c r="H13" s="4" t="s">
        <v>52</v>
      </c>
      <c r="I13" s="5" t="s">
        <v>16</v>
      </c>
    </row>
    <row r="14" customFormat="false" ht="15" hidden="false" customHeight="false" outlineLevel="0" collapsed="false">
      <c r="B14" s="3" t="s">
        <v>64</v>
      </c>
      <c r="C14" s="3" t="s">
        <v>70</v>
      </c>
      <c r="D14" s="3" t="s">
        <v>71</v>
      </c>
      <c r="E14" s="4" t="s">
        <v>72</v>
      </c>
      <c r="F14" s="3" t="s">
        <v>73</v>
      </c>
      <c r="G14" s="4" t="s">
        <v>74</v>
      </c>
      <c r="H14" s="4" t="s">
        <v>52</v>
      </c>
      <c r="I14" s="5" t="s">
        <v>16</v>
      </c>
    </row>
    <row r="15" customFormat="false" ht="15" hidden="false" customHeight="false" outlineLevel="0" collapsed="false">
      <c r="B15" s="3" t="s">
        <v>64</v>
      </c>
      <c r="C15" s="3" t="s">
        <v>75</v>
      </c>
      <c r="D15" s="3" t="s">
        <v>76</v>
      </c>
      <c r="E15" s="4" t="s">
        <v>77</v>
      </c>
      <c r="F15" s="4" t="s">
        <v>78</v>
      </c>
      <c r="G15" s="4" t="s">
        <v>79</v>
      </c>
      <c r="H15" s="4" t="s">
        <v>15</v>
      </c>
      <c r="I15" s="5" t="s">
        <v>16</v>
      </c>
    </row>
    <row r="16" customFormat="false" ht="15" hidden="false" customHeight="false" outlineLevel="0" collapsed="false">
      <c r="B16" s="3" t="s">
        <v>64</v>
      </c>
      <c r="C16" s="3" t="s">
        <v>80</v>
      </c>
      <c r="D16" s="3" t="s">
        <v>81</v>
      </c>
      <c r="E16" s="4" t="s">
        <v>82</v>
      </c>
      <c r="F16" s="4" t="s">
        <v>83</v>
      </c>
      <c r="G16" s="3" t="s">
        <v>84</v>
      </c>
      <c r="H16" s="4" t="s">
        <v>21</v>
      </c>
      <c r="I16" s="5" t="s">
        <v>16</v>
      </c>
    </row>
    <row r="17" customFormat="false" ht="29.85" hidden="false" customHeight="false" outlineLevel="0" collapsed="false">
      <c r="B17" s="3" t="s">
        <v>85</v>
      </c>
      <c r="C17" s="3" t="s">
        <v>86</v>
      </c>
      <c r="D17" s="3" t="s">
        <v>87</v>
      </c>
      <c r="E17" s="4" t="s">
        <v>88</v>
      </c>
      <c r="F17" s="3" t="s">
        <v>89</v>
      </c>
      <c r="G17" s="4" t="s">
        <v>90</v>
      </c>
      <c r="H17" s="4" t="s">
        <v>52</v>
      </c>
      <c r="I17" s="5" t="s">
        <v>16</v>
      </c>
    </row>
    <row r="18" customFormat="false" ht="15" hidden="false" customHeight="false" outlineLevel="0" collapsed="false">
      <c r="B18" s="3" t="s">
        <v>85</v>
      </c>
      <c r="C18" s="3" t="s">
        <v>86</v>
      </c>
      <c r="D18" s="3" t="s">
        <v>91</v>
      </c>
      <c r="E18" s="4" t="s">
        <v>92</v>
      </c>
      <c r="F18" s="3" t="s">
        <v>93</v>
      </c>
      <c r="G18" s="4" t="s">
        <v>94</v>
      </c>
      <c r="H18" s="4" t="s">
        <v>21</v>
      </c>
      <c r="I18" s="5" t="s">
        <v>16</v>
      </c>
    </row>
    <row r="19" customFormat="false" ht="35.05" hidden="false" customHeight="false" outlineLevel="0" collapsed="false">
      <c r="B19" s="3" t="s">
        <v>85</v>
      </c>
      <c r="C19" s="3" t="s">
        <v>86</v>
      </c>
      <c r="D19" s="3" t="s">
        <v>95</v>
      </c>
      <c r="E19" s="4" t="s">
        <v>96</v>
      </c>
      <c r="F19" s="3" t="s">
        <v>97</v>
      </c>
      <c r="G19" s="4" t="s">
        <v>98</v>
      </c>
      <c r="H19" s="4" t="s">
        <v>21</v>
      </c>
      <c r="I19" s="5" t="s">
        <v>16</v>
      </c>
    </row>
    <row r="20" customFormat="false" ht="15" hidden="false" customHeight="false" outlineLevel="0" collapsed="false">
      <c r="B20" s="3" t="s">
        <v>85</v>
      </c>
      <c r="C20" s="3" t="s">
        <v>86</v>
      </c>
      <c r="D20" s="3" t="s">
        <v>99</v>
      </c>
      <c r="E20" s="4" t="s">
        <v>100</v>
      </c>
      <c r="F20" s="3" t="s">
        <v>101</v>
      </c>
      <c r="G20" s="4" t="s">
        <v>102</v>
      </c>
      <c r="H20" s="4" t="s">
        <v>52</v>
      </c>
      <c r="I20" s="5" t="s">
        <v>16</v>
      </c>
    </row>
    <row r="21" customFormat="false" ht="15" hidden="false" customHeight="false" outlineLevel="0" collapsed="false">
      <c r="B21" s="3" t="s">
        <v>85</v>
      </c>
      <c r="C21" s="3" t="s">
        <v>103</v>
      </c>
      <c r="D21" s="3" t="s">
        <v>104</v>
      </c>
      <c r="E21" s="4" t="s">
        <v>105</v>
      </c>
      <c r="F21" s="3" t="s">
        <v>106</v>
      </c>
      <c r="G21" s="3" t="s">
        <v>107</v>
      </c>
      <c r="H21" s="4" t="s">
        <v>52</v>
      </c>
      <c r="I21" s="5" t="s">
        <v>16</v>
      </c>
    </row>
    <row r="22" customFormat="false" ht="15" hidden="false" customHeight="false" outlineLevel="0" collapsed="false">
      <c r="B22" s="3" t="s">
        <v>85</v>
      </c>
      <c r="C22" s="3" t="s">
        <v>103</v>
      </c>
      <c r="D22" s="3" t="s">
        <v>108</v>
      </c>
      <c r="E22" s="4" t="s">
        <v>109</v>
      </c>
      <c r="F22" s="3" t="s">
        <v>110</v>
      </c>
      <c r="G22" s="3" t="s">
        <v>111</v>
      </c>
      <c r="H22" s="4" t="s">
        <v>21</v>
      </c>
      <c r="I22" s="5" t="s">
        <v>16</v>
      </c>
    </row>
    <row r="23" customFormat="false" ht="15" hidden="false" customHeight="false" outlineLevel="0" collapsed="false">
      <c r="B23" s="3" t="s">
        <v>85</v>
      </c>
      <c r="C23" s="3" t="s">
        <v>112</v>
      </c>
      <c r="D23" s="3" t="s">
        <v>113</v>
      </c>
      <c r="E23" s="4" t="s">
        <v>114</v>
      </c>
      <c r="F23" s="3" t="s">
        <v>115</v>
      </c>
      <c r="G23" s="3" t="s">
        <v>116</v>
      </c>
      <c r="H23" s="4" t="s">
        <v>15</v>
      </c>
      <c r="I23" s="5" t="s">
        <v>16</v>
      </c>
    </row>
    <row r="24" customFormat="false" ht="15" hidden="false" customHeight="false" outlineLevel="0" collapsed="false">
      <c r="B24" s="3" t="s">
        <v>85</v>
      </c>
      <c r="C24" s="3" t="s">
        <v>112</v>
      </c>
      <c r="D24" s="3" t="s">
        <v>117</v>
      </c>
      <c r="E24" s="4" t="s">
        <v>118</v>
      </c>
      <c r="F24" s="3" t="s">
        <v>119</v>
      </c>
      <c r="G24" s="3" t="s">
        <v>120</v>
      </c>
      <c r="H24" s="4" t="s">
        <v>52</v>
      </c>
      <c r="I24" s="5" t="s">
        <v>16</v>
      </c>
    </row>
    <row r="25" customFormat="false" ht="15" hidden="false" customHeight="false" outlineLevel="0" collapsed="false">
      <c r="B25" s="3" t="s">
        <v>85</v>
      </c>
      <c r="C25" s="3" t="s">
        <v>112</v>
      </c>
      <c r="D25" s="3" t="s">
        <v>121</v>
      </c>
      <c r="E25" s="4" t="s">
        <v>122</v>
      </c>
      <c r="F25" s="3" t="s">
        <v>123</v>
      </c>
      <c r="G25" s="4" t="s">
        <v>124</v>
      </c>
      <c r="H25" s="4" t="s">
        <v>21</v>
      </c>
      <c r="I25" s="5" t="s">
        <v>16</v>
      </c>
    </row>
    <row r="26" customFormat="false" ht="15" hidden="false" customHeight="false" outlineLevel="0" collapsed="false">
      <c r="B26" s="3" t="s">
        <v>85</v>
      </c>
      <c r="C26" s="3" t="s">
        <v>80</v>
      </c>
      <c r="D26" s="3" t="s">
        <v>125</v>
      </c>
      <c r="E26" s="4" t="s">
        <v>126</v>
      </c>
      <c r="F26" s="4" t="s">
        <v>127</v>
      </c>
      <c r="G26" s="3" t="s">
        <v>128</v>
      </c>
      <c r="H26" s="4" t="s">
        <v>21</v>
      </c>
      <c r="I26" s="5" t="s">
        <v>16</v>
      </c>
    </row>
    <row r="27" customFormat="false" ht="29.85" hidden="false" customHeight="false" outlineLevel="0" collapsed="false">
      <c r="B27" s="3" t="s">
        <v>85</v>
      </c>
      <c r="C27" s="3" t="s">
        <v>80</v>
      </c>
      <c r="D27" s="3" t="s">
        <v>129</v>
      </c>
      <c r="E27" s="4" t="s">
        <v>130</v>
      </c>
      <c r="F27" s="3" t="s">
        <v>131</v>
      </c>
      <c r="G27" s="4" t="s">
        <v>132</v>
      </c>
      <c r="H27" s="4" t="s">
        <v>21</v>
      </c>
      <c r="I27" s="5" t="s">
        <v>16</v>
      </c>
    </row>
    <row r="28" customFormat="false" ht="15" hidden="false" customHeight="false" outlineLevel="0" collapsed="false">
      <c r="B28" s="3" t="s">
        <v>85</v>
      </c>
      <c r="C28" s="3" t="s">
        <v>133</v>
      </c>
      <c r="D28" s="3" t="s">
        <v>134</v>
      </c>
      <c r="E28" s="4" t="s">
        <v>135</v>
      </c>
      <c r="F28" s="4" t="s">
        <v>136</v>
      </c>
      <c r="G28" s="3" t="s">
        <v>137</v>
      </c>
      <c r="H28" s="4" t="s">
        <v>52</v>
      </c>
      <c r="I28" s="5" t="s">
        <v>16</v>
      </c>
    </row>
    <row r="29" customFormat="false" ht="15" hidden="false" customHeight="false" outlineLevel="0" collapsed="false">
      <c r="B29" s="3" t="s">
        <v>85</v>
      </c>
      <c r="C29" s="3" t="s">
        <v>133</v>
      </c>
      <c r="D29" s="3" t="s">
        <v>138</v>
      </c>
      <c r="E29" s="4" t="s">
        <v>139</v>
      </c>
      <c r="F29" s="3" t="s">
        <v>140</v>
      </c>
      <c r="G29" s="3" t="s">
        <v>141</v>
      </c>
      <c r="H29" s="4" t="s">
        <v>52</v>
      </c>
      <c r="I29" s="5" t="s">
        <v>16</v>
      </c>
    </row>
    <row r="30" customFormat="false" ht="15" hidden="false" customHeight="false" outlineLevel="0" collapsed="false">
      <c r="B30" s="3" t="s">
        <v>85</v>
      </c>
      <c r="C30" s="3" t="s">
        <v>133</v>
      </c>
      <c r="D30" s="3" t="s">
        <v>142</v>
      </c>
      <c r="E30" s="4" t="s">
        <v>143</v>
      </c>
      <c r="F30" s="3" t="s">
        <v>144</v>
      </c>
      <c r="G30" s="3" t="s">
        <v>145</v>
      </c>
      <c r="H30" s="4" t="s">
        <v>21</v>
      </c>
      <c r="I30" s="5" t="s">
        <v>16</v>
      </c>
    </row>
    <row r="31" customFormat="false" ht="15" hidden="false" customHeight="false" outlineLevel="0" collapsed="false">
      <c r="B31" s="3" t="s">
        <v>85</v>
      </c>
      <c r="C31" s="3" t="s">
        <v>146</v>
      </c>
      <c r="D31" s="3" t="s">
        <v>147</v>
      </c>
      <c r="E31" s="4" t="s">
        <v>148</v>
      </c>
      <c r="F31" s="3" t="s">
        <v>149</v>
      </c>
      <c r="G31" s="3"/>
      <c r="H31" s="4" t="s">
        <v>15</v>
      </c>
      <c r="I31" s="5" t="s">
        <v>16</v>
      </c>
    </row>
    <row r="32" customFormat="false" ht="29.85" hidden="false" customHeight="false" outlineLevel="0" collapsed="false">
      <c r="B32" s="3" t="s">
        <v>85</v>
      </c>
      <c r="C32" s="3" t="s">
        <v>146</v>
      </c>
      <c r="D32" s="3" t="s">
        <v>150</v>
      </c>
      <c r="E32" s="4" t="s">
        <v>151</v>
      </c>
      <c r="F32" s="3" t="s">
        <v>152</v>
      </c>
      <c r="G32" s="3" t="s">
        <v>153</v>
      </c>
      <c r="H32" s="4" t="s">
        <v>21</v>
      </c>
      <c r="I32" s="5" t="s">
        <v>16</v>
      </c>
    </row>
    <row r="33" customFormat="false" ht="15" hidden="false" customHeight="false" outlineLevel="0" collapsed="false">
      <c r="B33" s="3" t="s">
        <v>85</v>
      </c>
      <c r="C33" s="3" t="s">
        <v>146</v>
      </c>
      <c r="D33" s="3" t="s">
        <v>154</v>
      </c>
      <c r="E33" s="4" t="s">
        <v>155</v>
      </c>
      <c r="F33" s="3" t="s">
        <v>156</v>
      </c>
      <c r="G33" s="3"/>
      <c r="H33" s="4" t="s">
        <v>21</v>
      </c>
      <c r="I33" s="5" t="s">
        <v>16</v>
      </c>
    </row>
    <row r="34" customFormat="false" ht="15" hidden="false" customHeight="false" outlineLevel="0" collapsed="false">
      <c r="B34" s="3" t="s">
        <v>85</v>
      </c>
      <c r="C34" s="3" t="s">
        <v>146</v>
      </c>
      <c r="D34" s="3" t="s">
        <v>157</v>
      </c>
      <c r="E34" s="4" t="s">
        <v>158</v>
      </c>
      <c r="F34" s="3" t="s">
        <v>159</v>
      </c>
      <c r="G34" s="3" t="s">
        <v>160</v>
      </c>
      <c r="H34" s="4" t="s">
        <v>161</v>
      </c>
      <c r="I34" s="5" t="s">
        <v>162</v>
      </c>
    </row>
    <row r="35" customFormat="false" ht="15" hidden="false" customHeight="false" outlineLevel="0" collapsed="false">
      <c r="B35" s="3" t="s">
        <v>163</v>
      </c>
      <c r="C35" s="3" t="s">
        <v>164</v>
      </c>
      <c r="D35" s="3" t="s">
        <v>165</v>
      </c>
      <c r="E35" s="4" t="s">
        <v>166</v>
      </c>
      <c r="F35" s="3" t="s">
        <v>167</v>
      </c>
      <c r="G35" s="4" t="s">
        <v>168</v>
      </c>
      <c r="H35" s="4" t="s">
        <v>15</v>
      </c>
      <c r="I35" s="5" t="s">
        <v>16</v>
      </c>
    </row>
    <row r="36" customFormat="false" ht="15" hidden="false" customHeight="false" outlineLevel="0" collapsed="false">
      <c r="B36" s="3" t="s">
        <v>163</v>
      </c>
      <c r="C36" s="3" t="s">
        <v>164</v>
      </c>
      <c r="D36" s="3" t="s">
        <v>169</v>
      </c>
      <c r="E36" s="4" t="s">
        <v>170</v>
      </c>
      <c r="F36" s="4" t="s">
        <v>171</v>
      </c>
      <c r="G36" s="3"/>
      <c r="H36" s="4" t="s">
        <v>15</v>
      </c>
      <c r="I36" s="5" t="s">
        <v>16</v>
      </c>
    </row>
    <row r="37" customFormat="false" ht="15" hidden="false" customHeight="false" outlineLevel="0" collapsed="false">
      <c r="B37" s="3" t="s">
        <v>163</v>
      </c>
      <c r="C37" s="3" t="s">
        <v>164</v>
      </c>
      <c r="D37" s="3" t="s">
        <v>172</v>
      </c>
      <c r="E37" s="4" t="s">
        <v>173</v>
      </c>
      <c r="F37" s="3" t="s">
        <v>174</v>
      </c>
      <c r="G37" s="3" t="s">
        <v>175</v>
      </c>
      <c r="H37" s="4" t="s">
        <v>52</v>
      </c>
      <c r="I37" s="5" t="s">
        <v>16</v>
      </c>
    </row>
    <row r="38" customFormat="false" ht="29.85" hidden="false" customHeight="false" outlineLevel="0" collapsed="false">
      <c r="B38" s="3" t="s">
        <v>163</v>
      </c>
      <c r="C38" s="3" t="s">
        <v>176</v>
      </c>
      <c r="D38" s="3" t="s">
        <v>177</v>
      </c>
      <c r="E38" s="4" t="s">
        <v>178</v>
      </c>
      <c r="F38" s="3" t="s">
        <v>179</v>
      </c>
      <c r="G38" s="4" t="s">
        <v>180</v>
      </c>
      <c r="H38" s="4" t="s">
        <v>52</v>
      </c>
      <c r="I38" s="5" t="s">
        <v>16</v>
      </c>
    </row>
    <row r="39" customFormat="false" ht="15" hidden="false" customHeight="false" outlineLevel="0" collapsed="false">
      <c r="B39" s="3" t="s">
        <v>163</v>
      </c>
      <c r="C39" s="3" t="s">
        <v>176</v>
      </c>
      <c r="D39" s="3" t="s">
        <v>181</v>
      </c>
      <c r="E39" s="4" t="s">
        <v>182</v>
      </c>
      <c r="F39" s="3" t="s">
        <v>183</v>
      </c>
      <c r="G39" s="3" t="s">
        <v>184</v>
      </c>
      <c r="H39" s="4" t="s">
        <v>21</v>
      </c>
      <c r="I39" s="5" t="s">
        <v>16</v>
      </c>
    </row>
    <row r="40" customFormat="false" ht="29.85" hidden="false" customHeight="false" outlineLevel="0" collapsed="false">
      <c r="B40" s="3" t="s">
        <v>163</v>
      </c>
      <c r="C40" s="3" t="s">
        <v>176</v>
      </c>
      <c r="D40" s="3" t="s">
        <v>185</v>
      </c>
      <c r="E40" s="4" t="s">
        <v>186</v>
      </c>
      <c r="F40" s="3" t="s">
        <v>187</v>
      </c>
      <c r="G40" s="3"/>
      <c r="H40" s="4" t="s">
        <v>21</v>
      </c>
      <c r="I40" s="5" t="s">
        <v>16</v>
      </c>
    </row>
    <row r="41" customFormat="false" ht="29.85" hidden="false" customHeight="false" outlineLevel="0" collapsed="false">
      <c r="B41" s="3" t="s">
        <v>163</v>
      </c>
      <c r="C41" s="3" t="s">
        <v>188</v>
      </c>
      <c r="D41" s="3" t="s">
        <v>189</v>
      </c>
      <c r="E41" s="4" t="s">
        <v>190</v>
      </c>
      <c r="F41" s="3" t="s">
        <v>191</v>
      </c>
      <c r="G41" s="4" t="s">
        <v>192</v>
      </c>
      <c r="H41" s="4" t="s">
        <v>15</v>
      </c>
      <c r="I41" s="5" t="s">
        <v>16</v>
      </c>
    </row>
    <row r="42" customFormat="false" ht="15" hidden="false" customHeight="false" outlineLevel="0" collapsed="false">
      <c r="B42" s="3" t="s">
        <v>193</v>
      </c>
      <c r="C42" s="3" t="s">
        <v>194</v>
      </c>
      <c r="D42" s="3" t="s">
        <v>195</v>
      </c>
      <c r="E42" s="4" t="s">
        <v>196</v>
      </c>
      <c r="F42" s="3" t="s">
        <v>197</v>
      </c>
      <c r="G42" s="3" t="s">
        <v>198</v>
      </c>
      <c r="H42" s="4" t="s">
        <v>52</v>
      </c>
      <c r="I42" s="5" t="s">
        <v>16</v>
      </c>
    </row>
    <row r="43" customFormat="false" ht="15" hidden="false" customHeight="false" outlineLevel="0" collapsed="false">
      <c r="B43" s="3" t="s">
        <v>193</v>
      </c>
      <c r="C43" s="3" t="s">
        <v>194</v>
      </c>
      <c r="D43" s="3" t="s">
        <v>199</v>
      </c>
      <c r="E43" s="4" t="s">
        <v>200</v>
      </c>
      <c r="F43" s="3" t="s">
        <v>201</v>
      </c>
      <c r="G43" s="3"/>
      <c r="H43" s="4" t="s">
        <v>15</v>
      </c>
      <c r="I43" s="5" t="s">
        <v>16</v>
      </c>
    </row>
    <row r="44" customFormat="false" ht="29.85" hidden="false" customHeight="false" outlineLevel="0" collapsed="false">
      <c r="B44" s="3" t="s">
        <v>193</v>
      </c>
      <c r="C44" s="3" t="s">
        <v>202</v>
      </c>
      <c r="D44" s="3" t="s">
        <v>203</v>
      </c>
      <c r="E44" s="4" t="s">
        <v>204</v>
      </c>
      <c r="F44" s="3" t="s">
        <v>205</v>
      </c>
      <c r="G44" s="3" t="s">
        <v>206</v>
      </c>
      <c r="H44" s="4" t="s">
        <v>21</v>
      </c>
      <c r="I44" s="5" t="s">
        <v>16</v>
      </c>
    </row>
    <row r="45" customFormat="false" ht="15" hidden="false" customHeight="false" outlineLevel="0" collapsed="false">
      <c r="B45" s="3" t="s">
        <v>193</v>
      </c>
      <c r="C45" s="3" t="s">
        <v>202</v>
      </c>
      <c r="D45" s="3" t="s">
        <v>207</v>
      </c>
      <c r="E45" s="4" t="s">
        <v>208</v>
      </c>
      <c r="F45" s="3" t="s">
        <v>209</v>
      </c>
      <c r="G45" s="3"/>
      <c r="H45" s="4" t="s">
        <v>21</v>
      </c>
      <c r="I45" s="5" t="s">
        <v>16</v>
      </c>
    </row>
    <row r="46" customFormat="false" ht="15" hidden="false" customHeight="false" outlineLevel="0" collapsed="false">
      <c r="B46" s="3" t="s">
        <v>193</v>
      </c>
      <c r="C46" s="3" t="s">
        <v>202</v>
      </c>
      <c r="D46" s="3" t="s">
        <v>210</v>
      </c>
      <c r="E46" s="4" t="s">
        <v>211</v>
      </c>
      <c r="F46" s="3" t="s">
        <v>212</v>
      </c>
      <c r="G46" s="4" t="s">
        <v>213</v>
      </c>
      <c r="H46" s="4" t="s">
        <v>21</v>
      </c>
      <c r="I46" s="5" t="s">
        <v>16</v>
      </c>
    </row>
    <row r="47" customFormat="false" ht="29.85" hidden="false" customHeight="false" outlineLevel="0" collapsed="false">
      <c r="B47" s="3" t="s">
        <v>214</v>
      </c>
      <c r="C47" s="3" t="s">
        <v>215</v>
      </c>
      <c r="D47" s="3" t="s">
        <v>216</v>
      </c>
      <c r="E47" s="4" t="s">
        <v>217</v>
      </c>
      <c r="F47" s="3" t="s">
        <v>218</v>
      </c>
      <c r="G47" s="4" t="s">
        <v>219</v>
      </c>
      <c r="H47" s="4" t="s">
        <v>21</v>
      </c>
      <c r="I47" s="5" t="s">
        <v>16</v>
      </c>
    </row>
    <row r="48" customFormat="false" ht="15" hidden="false" customHeight="false" outlineLevel="0" collapsed="false">
      <c r="B48" s="3" t="s">
        <v>214</v>
      </c>
      <c r="C48" s="3" t="s">
        <v>220</v>
      </c>
      <c r="D48" s="3" t="s">
        <v>221</v>
      </c>
      <c r="E48" s="4" t="s">
        <v>222</v>
      </c>
      <c r="F48" s="3" t="s">
        <v>223</v>
      </c>
      <c r="G48" s="3" t="s">
        <v>224</v>
      </c>
      <c r="H48" s="4" t="s">
        <v>21</v>
      </c>
      <c r="I48" s="5" t="s">
        <v>16</v>
      </c>
    </row>
    <row r="49" customFormat="false" ht="15" hidden="false" customHeight="false" outlineLevel="0" collapsed="false">
      <c r="B49" s="3" t="s">
        <v>214</v>
      </c>
      <c r="C49" s="3" t="s">
        <v>225</v>
      </c>
      <c r="D49" s="3" t="s">
        <v>226</v>
      </c>
      <c r="E49" s="4" t="s">
        <v>227</v>
      </c>
      <c r="F49" s="3" t="s">
        <v>228</v>
      </c>
      <c r="G49" s="3" t="s">
        <v>229</v>
      </c>
      <c r="H49" s="4" t="s">
        <v>21</v>
      </c>
      <c r="I49" s="5" t="s">
        <v>16</v>
      </c>
    </row>
    <row r="50" customFormat="false" ht="15" hidden="false" customHeight="false" outlineLevel="0" collapsed="false">
      <c r="B50" s="3" t="s">
        <v>214</v>
      </c>
      <c r="C50" s="3" t="s">
        <v>230</v>
      </c>
      <c r="D50" s="3" t="s">
        <v>231</v>
      </c>
      <c r="E50" s="4" t="s">
        <v>232</v>
      </c>
      <c r="F50" s="3" t="s">
        <v>233</v>
      </c>
      <c r="G50" s="4" t="s">
        <v>234</v>
      </c>
      <c r="H50" s="4" t="s">
        <v>21</v>
      </c>
      <c r="I50" s="5" t="s">
        <v>16</v>
      </c>
    </row>
    <row r="51" customFormat="false" ht="15" hidden="false" customHeight="false" outlineLevel="0" collapsed="false">
      <c r="B51" s="3" t="s">
        <v>235</v>
      </c>
      <c r="C51" s="3" t="s">
        <v>202</v>
      </c>
      <c r="D51" s="3" t="s">
        <v>236</v>
      </c>
      <c r="E51" s="4" t="s">
        <v>237</v>
      </c>
      <c r="F51" s="3" t="s">
        <v>238</v>
      </c>
      <c r="G51" s="3"/>
      <c r="H51" s="4" t="s">
        <v>21</v>
      </c>
      <c r="I51" s="5" t="s">
        <v>16</v>
      </c>
    </row>
    <row r="52" customFormat="false" ht="15" hidden="false" customHeight="false" outlineLevel="0" collapsed="false">
      <c r="B52" s="3" t="s">
        <v>235</v>
      </c>
      <c r="C52" s="3" t="s">
        <v>239</v>
      </c>
      <c r="D52" s="3" t="s">
        <v>240</v>
      </c>
      <c r="E52" s="4" t="s">
        <v>241</v>
      </c>
      <c r="F52" s="3" t="s">
        <v>242</v>
      </c>
      <c r="G52" s="3"/>
      <c r="H52" s="4" t="s">
        <v>52</v>
      </c>
      <c r="I52" s="5" t="s">
        <v>16</v>
      </c>
    </row>
    <row r="53" customFormat="false" ht="15" hidden="false" customHeight="false" outlineLevel="0" collapsed="false">
      <c r="B53" s="3" t="s">
        <v>235</v>
      </c>
      <c r="C53" s="3" t="s">
        <v>243</v>
      </c>
      <c r="D53" s="3" t="s">
        <v>244</v>
      </c>
      <c r="E53" s="4" t="s">
        <v>245</v>
      </c>
      <c r="F53" s="3" t="s">
        <v>246</v>
      </c>
      <c r="G53" s="4" t="s">
        <v>247</v>
      </c>
      <c r="H53" s="4" t="s">
        <v>15</v>
      </c>
      <c r="I53" s="5" t="s">
        <v>16</v>
      </c>
    </row>
    <row r="54" customFormat="false" ht="15" hidden="false" customHeight="false" outlineLevel="0" collapsed="false">
      <c r="B54" s="3" t="s">
        <v>248</v>
      </c>
      <c r="C54" s="3" t="s">
        <v>249</v>
      </c>
      <c r="D54" s="4" t="s">
        <v>250</v>
      </c>
      <c r="E54" s="4" t="s">
        <v>251</v>
      </c>
      <c r="F54" s="3" t="s">
        <v>252</v>
      </c>
      <c r="G54" s="3"/>
      <c r="H54" s="4" t="s">
        <v>15</v>
      </c>
      <c r="I54" s="5" t="s">
        <v>16</v>
      </c>
    </row>
    <row r="55" customFormat="false" ht="15" hidden="false" customHeight="false" outlineLevel="0" collapsed="false">
      <c r="B55" s="3" t="s">
        <v>248</v>
      </c>
      <c r="C55" s="3" t="s">
        <v>253</v>
      </c>
      <c r="D55" s="3" t="s">
        <v>254</v>
      </c>
      <c r="E55" s="4" t="s">
        <v>255</v>
      </c>
      <c r="F55" s="4" t="s">
        <v>256</v>
      </c>
      <c r="G55" s="3" t="s">
        <v>257</v>
      </c>
      <c r="H55" s="4" t="s">
        <v>21</v>
      </c>
      <c r="I55" s="5" t="s">
        <v>16</v>
      </c>
    </row>
    <row r="56" customFormat="false" ht="15" hidden="false" customHeight="false" outlineLevel="0" collapsed="false">
      <c r="B56" s="3" t="s">
        <v>248</v>
      </c>
      <c r="C56" s="3" t="s">
        <v>258</v>
      </c>
      <c r="D56" s="3" t="s">
        <v>259</v>
      </c>
      <c r="E56" s="4" t="s">
        <v>260</v>
      </c>
      <c r="F56" s="3" t="s">
        <v>261</v>
      </c>
      <c r="G56" s="3" t="s">
        <v>160</v>
      </c>
      <c r="H56" s="4" t="s">
        <v>161</v>
      </c>
      <c r="I56" s="5" t="s">
        <v>162</v>
      </c>
    </row>
    <row r="57" customFormat="false" ht="15" hidden="false" customHeight="false" outlineLevel="0" collapsed="false">
      <c r="B57" s="3" t="s">
        <v>243</v>
      </c>
      <c r="C57" s="3" t="s">
        <v>262</v>
      </c>
      <c r="D57" s="3" t="s">
        <v>263</v>
      </c>
      <c r="E57" s="4" t="s">
        <v>264</v>
      </c>
      <c r="F57" s="4" t="s">
        <v>265</v>
      </c>
      <c r="G57" s="3" t="s">
        <v>266</v>
      </c>
      <c r="H57" s="4" t="s">
        <v>52</v>
      </c>
      <c r="I57" s="5" t="s">
        <v>16</v>
      </c>
    </row>
    <row r="58" customFormat="false" ht="15" hidden="false" customHeight="false" outlineLevel="0" collapsed="false">
      <c r="B58" s="3" t="s">
        <v>243</v>
      </c>
      <c r="C58" s="3" t="s">
        <v>262</v>
      </c>
      <c r="D58" s="3" t="s">
        <v>267</v>
      </c>
      <c r="E58" s="4" t="s">
        <v>268</v>
      </c>
      <c r="F58" s="3" t="s">
        <v>269</v>
      </c>
      <c r="G58" s="3" t="s">
        <v>270</v>
      </c>
      <c r="H58" s="4" t="s">
        <v>15</v>
      </c>
      <c r="I58" s="5" t="s">
        <v>16</v>
      </c>
    </row>
    <row r="59" customFormat="false" ht="15" hidden="false" customHeight="false" outlineLevel="0" collapsed="false">
      <c r="B59" s="3" t="s">
        <v>243</v>
      </c>
      <c r="C59" s="3" t="s">
        <v>262</v>
      </c>
      <c r="D59" s="3" t="s">
        <v>80</v>
      </c>
      <c r="E59" s="4" t="s">
        <v>271</v>
      </c>
      <c r="F59" s="4" t="s">
        <v>272</v>
      </c>
      <c r="G59" s="3" t="s">
        <v>273</v>
      </c>
      <c r="H59" s="4" t="s">
        <v>21</v>
      </c>
      <c r="I59" s="5" t="s">
        <v>16</v>
      </c>
    </row>
    <row r="60" customFormat="false" ht="15" hidden="false" customHeight="false" outlineLevel="0" collapsed="false">
      <c r="B60" s="3" t="s">
        <v>243</v>
      </c>
      <c r="C60" s="3" t="s">
        <v>274</v>
      </c>
      <c r="D60" s="3" t="s">
        <v>275</v>
      </c>
      <c r="E60" s="4" t="s">
        <v>276</v>
      </c>
      <c r="F60" s="4" t="s">
        <v>277</v>
      </c>
      <c r="G60" s="4" t="s">
        <v>278</v>
      </c>
      <c r="H60" s="4" t="s">
        <v>21</v>
      </c>
      <c r="I60" s="5" t="s">
        <v>16</v>
      </c>
    </row>
    <row r="61" customFormat="false" ht="29.85" hidden="false" customHeight="false" outlineLevel="0" collapsed="false">
      <c r="B61" s="3" t="s">
        <v>243</v>
      </c>
      <c r="C61" s="3" t="s">
        <v>274</v>
      </c>
      <c r="D61" s="3" t="s">
        <v>279</v>
      </c>
      <c r="E61" s="4" t="s">
        <v>280</v>
      </c>
      <c r="F61" s="4" t="s">
        <v>281</v>
      </c>
      <c r="G61" s="3" t="s">
        <v>282</v>
      </c>
      <c r="H61" s="4" t="s">
        <v>21</v>
      </c>
      <c r="I61" s="5" t="s">
        <v>16</v>
      </c>
    </row>
    <row r="63" customFormat="false" ht="15" hidden="false" customHeight="false" outlineLevel="0" collapsed="false">
      <c r="B63" s="6" t="s">
        <v>283</v>
      </c>
      <c r="C63" s="7" t="n">
        <f aca="false">COUNTA(E3:E61)</f>
        <v>59</v>
      </c>
    </row>
    <row r="64" customFormat="false" ht="15" hidden="false" customHeight="false" outlineLevel="0" collapsed="false">
      <c r="B64" s="8" t="s">
        <v>284</v>
      </c>
      <c r="C64" s="8" t="n">
        <f aca="false">COUNTIF(I3:I61,"✅")</f>
        <v>55</v>
      </c>
    </row>
    <row r="65" customFormat="false" ht="15" hidden="false" customHeight="false" outlineLevel="0" collapsed="false">
      <c r="B65" s="8" t="s">
        <v>285</v>
      </c>
      <c r="C65" s="8" t="n">
        <f aca="false">COUNTIF(I3:I61,"🟡")</f>
        <v>2</v>
      </c>
    </row>
    <row r="66" customFormat="false" ht="15" hidden="false" customHeight="false" outlineLevel="0" collapsed="false">
      <c r="B66" s="8" t="s">
        <v>286</v>
      </c>
      <c r="C66" s="8" t="n">
        <f aca="false">COUNTIF(I3:I61,"⏳")</f>
        <v>2</v>
      </c>
    </row>
    <row r="68" customFormat="false" ht="15" hidden="false" customHeight="false" outlineLevel="0" collapsed="false">
      <c r="B68" s="9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7"/>
  </cols>
  <sheetData>
    <row r="1" customFormat="false" ht="20.1" hidden="false" customHeight="false" outlineLevel="0" collapsed="false">
      <c r="B1" s="1" t="s">
        <v>288</v>
      </c>
    </row>
    <row r="2" customFormat="false" ht="15" hidden="false" customHeight="false" outlineLevel="0" collapsed="false">
      <c r="B2" s="2" t="s">
        <v>1</v>
      </c>
      <c r="C2" s="2" t="s">
        <v>289</v>
      </c>
      <c r="D2" s="2" t="s">
        <v>4</v>
      </c>
      <c r="E2" s="2" t="s">
        <v>290</v>
      </c>
      <c r="F2" s="2" t="s">
        <v>291</v>
      </c>
      <c r="G2" s="2" t="s">
        <v>7</v>
      </c>
      <c r="H2" s="2" t="s">
        <v>8</v>
      </c>
    </row>
    <row r="3" customFormat="false" ht="15" hidden="false" customHeight="false" outlineLevel="0" collapsed="false">
      <c r="B3" s="3" t="s">
        <v>292</v>
      </c>
      <c r="C3" s="3" t="s">
        <v>293</v>
      </c>
      <c r="D3" s="4" t="s">
        <v>294</v>
      </c>
      <c r="E3" s="3" t="s">
        <v>295</v>
      </c>
      <c r="F3" s="3" t="s">
        <v>296</v>
      </c>
      <c r="G3" s="4" t="s">
        <v>52</v>
      </c>
      <c r="H3" s="5" t="s">
        <v>16</v>
      </c>
    </row>
    <row r="4" customFormat="false" ht="15" hidden="false" customHeight="false" outlineLevel="0" collapsed="false">
      <c r="B4" s="3" t="s">
        <v>292</v>
      </c>
      <c r="C4" s="3" t="s">
        <v>297</v>
      </c>
      <c r="D4" s="4" t="s">
        <v>298</v>
      </c>
      <c r="E4" s="3" t="s">
        <v>299</v>
      </c>
      <c r="F4" s="3" t="s">
        <v>300</v>
      </c>
      <c r="G4" s="4" t="s">
        <v>21</v>
      </c>
      <c r="H4" s="5" t="s">
        <v>16</v>
      </c>
    </row>
    <row r="5" customFormat="false" ht="15" hidden="false" customHeight="false" outlineLevel="0" collapsed="false">
      <c r="B5" s="3" t="s">
        <v>292</v>
      </c>
      <c r="C5" s="3" t="s">
        <v>301</v>
      </c>
      <c r="D5" s="4" t="s">
        <v>302</v>
      </c>
      <c r="E5" s="3" t="s">
        <v>303</v>
      </c>
      <c r="F5" s="3" t="s">
        <v>304</v>
      </c>
      <c r="G5" s="4" t="s">
        <v>21</v>
      </c>
      <c r="H5" s="5" t="s">
        <v>16</v>
      </c>
    </row>
    <row r="6" customFormat="false" ht="15" hidden="false" customHeight="false" outlineLevel="0" collapsed="false">
      <c r="B6" s="3" t="s">
        <v>292</v>
      </c>
      <c r="C6" s="3" t="s">
        <v>87</v>
      </c>
      <c r="D6" s="4" t="s">
        <v>305</v>
      </c>
      <c r="E6" s="3" t="s">
        <v>306</v>
      </c>
      <c r="F6" s="3" t="s">
        <v>307</v>
      </c>
      <c r="G6" s="4" t="s">
        <v>52</v>
      </c>
      <c r="H6" s="5" t="s">
        <v>16</v>
      </c>
    </row>
    <row r="7" customFormat="false" ht="15" hidden="false" customHeight="false" outlineLevel="0" collapsed="false">
      <c r="B7" s="3" t="s">
        <v>292</v>
      </c>
      <c r="C7" s="3" t="s">
        <v>308</v>
      </c>
      <c r="D7" s="4" t="s">
        <v>309</v>
      </c>
      <c r="E7" s="3" t="s">
        <v>310</v>
      </c>
      <c r="F7" s="4" t="s">
        <v>311</v>
      </c>
      <c r="G7" s="4" t="s">
        <v>21</v>
      </c>
      <c r="H7" s="5" t="s">
        <v>16</v>
      </c>
    </row>
    <row r="8" customFormat="false" ht="15" hidden="false" customHeight="false" outlineLevel="0" collapsed="false">
      <c r="B8" s="3" t="s">
        <v>312</v>
      </c>
      <c r="C8" s="3" t="s">
        <v>313</v>
      </c>
      <c r="D8" s="4" t="s">
        <v>314</v>
      </c>
      <c r="E8" s="3" t="s">
        <v>315</v>
      </c>
      <c r="F8" s="4" t="s">
        <v>316</v>
      </c>
      <c r="G8" s="4" t="s">
        <v>52</v>
      </c>
      <c r="H8" s="5" t="s">
        <v>16</v>
      </c>
    </row>
    <row r="9" customFormat="false" ht="15" hidden="false" customHeight="false" outlineLevel="0" collapsed="false">
      <c r="B9" s="3" t="s">
        <v>312</v>
      </c>
      <c r="C9" s="3" t="s">
        <v>317</v>
      </c>
      <c r="D9" s="4" t="s">
        <v>318</v>
      </c>
      <c r="E9" s="3" t="s">
        <v>319</v>
      </c>
      <c r="F9" s="3" t="s">
        <v>320</v>
      </c>
      <c r="G9" s="4" t="s">
        <v>52</v>
      </c>
      <c r="H9" s="5" t="s">
        <v>16</v>
      </c>
    </row>
    <row r="10" customFormat="false" ht="15" hidden="false" customHeight="false" outlineLevel="0" collapsed="false">
      <c r="B10" s="3" t="s">
        <v>321</v>
      </c>
      <c r="C10" s="4" t="s">
        <v>322</v>
      </c>
      <c r="D10" s="4" t="s">
        <v>323</v>
      </c>
      <c r="E10" s="3" t="s">
        <v>324</v>
      </c>
      <c r="F10" s="3" t="s">
        <v>325</v>
      </c>
      <c r="G10" s="4" t="s">
        <v>15</v>
      </c>
      <c r="H10" s="5" t="s">
        <v>16</v>
      </c>
    </row>
    <row r="11" customFormat="false" ht="15" hidden="false" customHeight="false" outlineLevel="0" collapsed="false">
      <c r="B11" s="3" t="s">
        <v>321</v>
      </c>
      <c r="C11" s="3" t="s">
        <v>326</v>
      </c>
      <c r="D11" s="4" t="s">
        <v>327</v>
      </c>
      <c r="E11" s="4" t="s">
        <v>328</v>
      </c>
      <c r="F11" s="4" t="s">
        <v>329</v>
      </c>
      <c r="G11" s="4" t="s">
        <v>52</v>
      </c>
      <c r="H11" s="5" t="s">
        <v>16</v>
      </c>
    </row>
    <row r="12" customFormat="false" ht="15" hidden="false" customHeight="false" outlineLevel="0" collapsed="false">
      <c r="B12" s="3" t="s">
        <v>321</v>
      </c>
      <c r="C12" s="3" t="s">
        <v>330</v>
      </c>
      <c r="D12" s="4" t="s">
        <v>331</v>
      </c>
      <c r="E12" s="3" t="s">
        <v>332</v>
      </c>
      <c r="F12" s="4" t="s">
        <v>333</v>
      </c>
      <c r="G12" s="4" t="s">
        <v>15</v>
      </c>
      <c r="H12" s="5" t="s">
        <v>16</v>
      </c>
    </row>
    <row r="13" customFormat="false" ht="15" hidden="false" customHeight="false" outlineLevel="0" collapsed="false">
      <c r="B13" s="3" t="s">
        <v>334</v>
      </c>
      <c r="C13" s="3" t="s">
        <v>335</v>
      </c>
      <c r="D13" s="4" t="s">
        <v>336</v>
      </c>
      <c r="E13" s="3" t="s">
        <v>337</v>
      </c>
      <c r="F13" s="4" t="s">
        <v>338</v>
      </c>
      <c r="G13" s="4" t="s">
        <v>21</v>
      </c>
      <c r="H13" s="5" t="s">
        <v>16</v>
      </c>
    </row>
    <row r="14" customFormat="false" ht="15" hidden="false" customHeight="false" outlineLevel="0" collapsed="false">
      <c r="B14" s="3" t="s">
        <v>334</v>
      </c>
      <c r="C14" s="3" t="s">
        <v>339</v>
      </c>
      <c r="D14" s="4" t="s">
        <v>340</v>
      </c>
      <c r="E14" s="3" t="s">
        <v>341</v>
      </c>
      <c r="F14" s="3" t="s">
        <v>342</v>
      </c>
      <c r="G14" s="4" t="s">
        <v>52</v>
      </c>
      <c r="H14" s="5" t="s">
        <v>16</v>
      </c>
    </row>
    <row r="15" customFormat="false" ht="15" hidden="false" customHeight="false" outlineLevel="0" collapsed="false">
      <c r="B15" s="3" t="s">
        <v>334</v>
      </c>
      <c r="C15" s="3" t="s">
        <v>343</v>
      </c>
      <c r="D15" s="4" t="s">
        <v>344</v>
      </c>
      <c r="E15" s="3" t="s">
        <v>345</v>
      </c>
      <c r="F15" s="3" t="s">
        <v>346</v>
      </c>
      <c r="G15" s="4" t="s">
        <v>21</v>
      </c>
      <c r="H15" s="5" t="s">
        <v>16</v>
      </c>
    </row>
    <row r="16" customFormat="false" ht="15" hidden="false" customHeight="false" outlineLevel="0" collapsed="false">
      <c r="B16" s="3" t="s">
        <v>347</v>
      </c>
      <c r="C16" s="3" t="s">
        <v>348</v>
      </c>
      <c r="D16" s="4" t="s">
        <v>349</v>
      </c>
      <c r="E16" s="3" t="s">
        <v>350</v>
      </c>
      <c r="F16" s="4" t="s">
        <v>351</v>
      </c>
      <c r="G16" s="4" t="s">
        <v>15</v>
      </c>
      <c r="H16" s="5" t="s">
        <v>16</v>
      </c>
    </row>
    <row r="17" customFormat="false" ht="15" hidden="false" customHeight="false" outlineLevel="0" collapsed="false">
      <c r="B17" s="3" t="s">
        <v>347</v>
      </c>
      <c r="C17" s="3" t="s">
        <v>352</v>
      </c>
      <c r="D17" s="4" t="s">
        <v>353</v>
      </c>
      <c r="E17" s="3" t="s">
        <v>354</v>
      </c>
      <c r="F17" s="4" t="s">
        <v>355</v>
      </c>
      <c r="G17" s="4" t="s">
        <v>21</v>
      </c>
      <c r="H17" s="5" t="s">
        <v>16</v>
      </c>
    </row>
    <row r="18" customFormat="false" ht="15" hidden="false" customHeight="false" outlineLevel="0" collapsed="false">
      <c r="B18" s="3" t="s">
        <v>347</v>
      </c>
      <c r="C18" s="3" t="s">
        <v>356</v>
      </c>
      <c r="D18" s="4" t="s">
        <v>357</v>
      </c>
      <c r="E18" s="4" t="s">
        <v>358</v>
      </c>
      <c r="F18" s="3" t="s">
        <v>359</v>
      </c>
      <c r="G18" s="4" t="s">
        <v>21</v>
      </c>
      <c r="H18" s="5" t="s">
        <v>16</v>
      </c>
    </row>
    <row r="19" customFormat="false" ht="15" hidden="false" customHeight="false" outlineLevel="0" collapsed="false">
      <c r="B19" s="3" t="s">
        <v>360</v>
      </c>
      <c r="C19" s="4" t="s">
        <v>361</v>
      </c>
      <c r="D19" s="4" t="s">
        <v>362</v>
      </c>
      <c r="E19" s="3" t="s">
        <v>363</v>
      </c>
      <c r="F19" s="4" t="s">
        <v>364</v>
      </c>
      <c r="G19" s="4" t="s">
        <v>52</v>
      </c>
      <c r="H19" s="5" t="s">
        <v>16</v>
      </c>
    </row>
    <row r="21" customFormat="false" ht="15" hidden="false" customHeight="false" outlineLevel="0" collapsed="false">
      <c r="B21" s="6" t="s">
        <v>283</v>
      </c>
      <c r="C21" s="8" t="n">
        <f aca="false">COUNTA(D3:D19)</f>
        <v>17</v>
      </c>
    </row>
    <row r="22" customFormat="false" ht="15" hidden="false" customHeight="false" outlineLevel="0" collapsed="false">
      <c r="B22" s="8" t="s">
        <v>284</v>
      </c>
      <c r="C22" s="8" t="n">
        <f aca="false">COUNTIF(H3:H19,"✅")</f>
        <v>17</v>
      </c>
    </row>
    <row r="23" customFormat="false" ht="15" hidden="false" customHeight="false" outlineLevel="0" collapsed="false">
      <c r="B23" s="8" t="s">
        <v>285</v>
      </c>
      <c r="C23" s="8" t="n">
        <f aca="false">COUNTIF(H3:H19,"🟡")</f>
        <v>0</v>
      </c>
    </row>
    <row r="24" customFormat="false" ht="15" hidden="false" customHeight="false" outlineLevel="0" collapsed="false">
      <c r="B24" s="8" t="s">
        <v>286</v>
      </c>
      <c r="C24" s="8" t="n">
        <f aca="false">COUNTIF(H3:H19,"⏳")</f>
        <v>0</v>
      </c>
    </row>
    <row r="26" customFormat="false" ht="15" hidden="false" customHeight="false" outlineLevel="0" collapsed="false">
      <c r="B26" s="9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2026-10-15T01:53:45Z</dcterms:created>
  <dc:creator>openpyxl</dc:creator>
  <dc:description/>
  <dc:language>en-US</dc:language>
  <cp:lastModifiedBy/>
  <dcterms:modified xsi:type="dcterms:W3CDTF">2026-10-15T01:53:45Z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